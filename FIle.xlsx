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348" windowWidth="22680" windowHeight="9084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ser>
          <idx val="0"/>
          <order val="0"/>
          <tx>
            <strRef>
              <f>Sheet1!$I$1</f>
              <strCache>
                <ptCount val="1"/>
                <pt idx="0">
                  <v>多</v>
                </pt>
              </strCache>
            </strRef>
          </tx>
          <spPr>
            <a:ln>
              <a:prstDash val="solid"/>
            </a:ln>
          </spPr>
          <cat>
            <strRef>
              <f>Sheet1!$A$2:$A$101</f>
              <strCache>
                <ptCount val="100"/>
                <pt idx="0">
                  <v>DO_20260105.xlsx</v>
                </pt>
                <pt idx="1">
                  <v>DO_20260106.xlsx</v>
                </pt>
                <pt idx="2">
                  <v>DO_20260107.xlsx</v>
                </pt>
                <pt idx="3">
                  <v>DO_20260108.xlsx</v>
                </pt>
                <pt idx="4">
                  <v>DO_20260109.xlsx</v>
                </pt>
                <pt idx="5">
                  <v>DO_20260112.xlsx</v>
                </pt>
                <pt idx="6">
                  <v>DO_20260113.xlsx</v>
                </pt>
                <pt idx="7">
                  <v>DO_20260114.xlsx</v>
                </pt>
                <pt idx="8">
                  <v>DO_20260115.xlsx</v>
                </pt>
                <pt idx="9">
                  <v>DO_20260116.xlsx</v>
                </pt>
                <pt idx="10">
                  <v>DO_20260119.xlsx</v>
                </pt>
                <pt idx="11">
                  <v>DO_20260120.xlsx</v>
                </pt>
                <pt idx="12">
                  <v>DO_20260121.xlsx</v>
                </pt>
                <pt idx="13">
                  <v>DO_20260122.xlsx</v>
                </pt>
                <pt idx="14">
                  <v>DO_20260123.xlsx</v>
                </pt>
                <pt idx="15">
                  <v>DO_20260126.xlsx</v>
                </pt>
                <pt idx="16">
                  <v>DO_20260127.xlsx</v>
                </pt>
                <pt idx="17">
                  <v>DO_20260128.xlsx</v>
                </pt>
                <pt idx="18">
                  <v>DO_20260129.xlsx</v>
                </pt>
                <pt idx="19">
                  <v>DO_20260130.xlsx</v>
                </pt>
                <pt idx="20">
                  <v>DO_20260202.xlsx</v>
                </pt>
                <pt idx="21">
                  <v>DO_20260203.xlsx</v>
                </pt>
                <pt idx="22">
                  <v>DO_20260204.xlsx</v>
                </pt>
                <pt idx="23">
                  <v>DO_20260205.xlsx</v>
                </pt>
                <pt idx="24">
                  <v>DO_20260206.xlsx</v>
                </pt>
                <pt idx="25">
                  <v>DO_20260209.xlsx</v>
                </pt>
                <pt idx="26">
                  <v>DO_20260210.xlsx</v>
                </pt>
                <pt idx="27">
                  <v>DO_20260211.xlsx</v>
                </pt>
                <pt idx="28">
                  <v>DO_20260223.xlsx</v>
                </pt>
                <pt idx="29">
                  <v>DO_20260224.xlsx</v>
                </pt>
                <pt idx="30">
                  <v>DO_20260225.xlsx</v>
                </pt>
                <pt idx="31">
                  <v>DO_20260226.xlsx</v>
                </pt>
                <pt idx="32">
                  <v>DO_20260302.xlsx</v>
                </pt>
                <pt idx="33">
                  <v>DO_20260303.xlsx</v>
                </pt>
                <pt idx="34">
                  <v>DO_20260304.xlsx</v>
                </pt>
                <pt idx="35">
                  <v>DO_20260305.xlsx</v>
                </pt>
                <pt idx="36">
                  <v>DO_20260306.xlsx</v>
                </pt>
                <pt idx="37">
                  <v>DO_20260309.xlsx</v>
                </pt>
                <pt idx="38">
                  <v>DO_20260310.xlsx</v>
                </pt>
                <pt idx="39">
                  <v>DO_20260311.xlsx</v>
                </pt>
                <pt idx="40">
                  <v>DO_20260312.xlsx</v>
                </pt>
                <pt idx="41">
                  <v>DO_20260313.xlsx</v>
                </pt>
                <pt idx="42">
                  <v>DO_20260316.xlsx</v>
                </pt>
                <pt idx="43">
                  <v>DO_20260317.xlsx</v>
                </pt>
                <pt idx="44">
                  <v>DO_20260318.xlsx</v>
                </pt>
                <pt idx="45">
                  <v>DO_20260319.xlsx</v>
                </pt>
                <pt idx="46">
                  <v>DO_20260320.xlsx</v>
                </pt>
                <pt idx="47">
                  <v>DO_20260323.xlsx</v>
                </pt>
                <pt idx="48">
                  <v>DO_20260324.xlsx</v>
                </pt>
                <pt idx="49">
                  <v>DO_20260325.xlsx</v>
                </pt>
                <pt idx="50">
                  <v>DO_20260326.xlsx</v>
                </pt>
                <pt idx="51">
                  <v>DO_20260327.xlsx</v>
                </pt>
                <pt idx="52">
                  <v>DO_20260330.xlsx</v>
                </pt>
                <pt idx="53">
                  <v>DO_20260331.xlsx</v>
                </pt>
                <pt idx="54">
                  <v>DO_20260401.xlsx</v>
                </pt>
                <pt idx="55">
                  <v>DO_20260402.xlsx</v>
                </pt>
                <pt idx="56">
                  <v>DO_20260407.xlsx</v>
                </pt>
                <pt idx="57">
                  <v>DO_20260408.xlsx</v>
                </pt>
                <pt idx="58">
                  <v>DO_20260409.xlsx</v>
                </pt>
                <pt idx="59">
                  <v>DO_20260410.xlsx</v>
                </pt>
                <pt idx="60">
                  <v>DO_20260413.xlsx</v>
                </pt>
                <pt idx="61">
                  <v>DO_20260414.xlsx</v>
                </pt>
                <pt idx="62">
                  <v>DO_20260415.xlsx</v>
                </pt>
                <pt idx="63">
                  <v>DO_20260416.xlsx</v>
                </pt>
                <pt idx="64">
                  <v>DO_20260417.xlsx</v>
                </pt>
                <pt idx="65">
                  <v>DO_20260420.xlsx</v>
                </pt>
                <pt idx="66">
                  <v>DO_20260421.xlsx</v>
                </pt>
                <pt idx="67">
                  <v>DO_20260422.xlsx</v>
                </pt>
                <pt idx="68">
                  <v>DO_20260423.xlsx</v>
                </pt>
                <pt idx="69">
                  <v>DO_20260424.xlsx</v>
                </pt>
                <pt idx="70">
                  <v>DO_20260427.xlsx</v>
                </pt>
                <pt idx="71">
                  <v>DO_20260428.xlsx</v>
                </pt>
                <pt idx="72">
                  <v>DO_20260429.xlsx</v>
                </pt>
                <pt idx="73">
                  <v>DO_20260430.xlsx</v>
                </pt>
                <pt idx="74">
                  <v>DO_20260504.xlsx</v>
                </pt>
                <pt idx="75">
                  <v>DO_20260505.xlsx</v>
                </pt>
                <pt idx="76">
                  <v>DO_20260506.xlsx</v>
                </pt>
                <pt idx="77">
                  <v>DO_20260507.xlsx</v>
                </pt>
                <pt idx="78">
                  <v>DO_20260508.xlsx</v>
                </pt>
                <pt idx="79">
                  <v>DO_20260511.xlsx</v>
                </pt>
                <pt idx="80">
                  <v>DO_20260512.xlsx</v>
                </pt>
                <pt idx="81">
                  <v>DO_20260513.xlsx</v>
                </pt>
                <pt idx="82">
                  <v>DO_20260514.xlsx</v>
                </pt>
                <pt idx="83">
                  <v>DO_20260518.xlsx</v>
                </pt>
                <pt idx="84">
                  <v>DO_20260515.xlsx</v>
                </pt>
                <pt idx="85">
                  <v>DO_20260519.xlsx</v>
                </pt>
                <pt idx="86">
                  <v>DO_20260520.xlsx</v>
                </pt>
                <pt idx="87">
                  <v>DO_20260521.xlsx</v>
                </pt>
                <pt idx="88">
                  <v>DO_20260522.xlsx</v>
                </pt>
                <pt idx="89">
                  <v>DO_20260525.xlsx</v>
                </pt>
                <pt idx="90">
                  <v>DO_20260526.xlsx</v>
                </pt>
                <pt idx="91">
                  <v>DO_20260527.xlsx</v>
                </pt>
                <pt idx="92">
                  <v>DO_20260528.xlsx</v>
                </pt>
                <pt idx="93">
                  <v>DO_20260529.xlsx</v>
                </pt>
                <pt idx="94">
                  <v>DO_20260601.xlsx</v>
                </pt>
                <pt idx="95">
                  <v>DO_20260602.xlsx</v>
                </pt>
                <pt idx="96">
                  <v>DO_20260603.xlsx</v>
                </pt>
                <pt idx="97">
                  <v>DO_20260604.xlsx</v>
                </pt>
                <pt idx="98">
                  <v>DO_20260605.xlsx</v>
                </pt>
                <pt idx="99">
                  <v>DO_20260608.xlsx</v>
                </pt>
              </strCache>
            </strRef>
          </cat>
          <val>
            <numRef>
              <f>Sheet1!$I$2:$I$101</f>
              <numCache>
                <formatCode>General</formatCode>
                <ptCount val="100"/>
                <pt idx="0">
                  <v>28</v>
                </pt>
                <pt idx="1">
                  <v>34</v>
                </pt>
                <pt idx="2">
                  <v>34</v>
                </pt>
                <pt idx="3">
                  <v>29</v>
                </pt>
                <pt idx="4">
                  <v>20</v>
                </pt>
                <pt idx="5">
                  <v>37</v>
                </pt>
                <pt idx="6">
                  <v>35</v>
                </pt>
                <pt idx="7">
                  <v>78</v>
                </pt>
                <pt idx="8">
                  <v>52</v>
                </pt>
                <pt idx="9">
                  <v>53</v>
                </pt>
                <pt idx="10">
                  <v>52</v>
                </pt>
                <pt idx="11">
                  <v>44</v>
                </pt>
                <pt idx="12">
                  <v>26</v>
                </pt>
                <pt idx="13">
                  <v>27</v>
                </pt>
                <pt idx="14">
                  <v>30</v>
                </pt>
                <pt idx="15">
                  <v>28</v>
                </pt>
                <pt idx="16">
                  <v>33</v>
                </pt>
                <pt idx="17">
                  <v>39</v>
                </pt>
                <pt idx="18">
                  <v>27</v>
                </pt>
                <pt idx="19">
                  <v>21</v>
                </pt>
                <pt idx="20">
                  <v>12</v>
                </pt>
                <pt idx="21">
                  <v>18</v>
                </pt>
                <pt idx="22">
                  <v>23</v>
                </pt>
                <pt idx="23">
                  <v>12</v>
                </pt>
                <pt idx="24">
                  <v>6</v>
                </pt>
                <pt idx="25">
                  <v>13</v>
                </pt>
                <pt idx="26">
                  <v>22</v>
                </pt>
                <pt idx="27">
                  <v>27</v>
                </pt>
                <pt idx="28">
                  <v>32</v>
                </pt>
                <pt idx="29">
                  <v>41</v>
                </pt>
                <pt idx="30">
                  <v>58</v>
                </pt>
                <pt idx="31">
                  <v>61</v>
                </pt>
                <pt idx="32">
                  <v>47</v>
                </pt>
                <pt idx="33">
                  <v>22</v>
                </pt>
                <pt idx="34">
                  <v>7</v>
                </pt>
                <pt idx="35">
                  <v>11</v>
                </pt>
                <pt idx="36">
                  <v>13</v>
                </pt>
                <pt idx="37">
                  <v>7</v>
                </pt>
                <pt idx="38">
                  <v>5</v>
                </pt>
                <pt idx="39">
                  <v>14</v>
                </pt>
                <pt idx="40">
                  <v>19</v>
                </pt>
                <pt idx="41">
                  <v>17</v>
                </pt>
                <pt idx="42">
                  <v>11</v>
                </pt>
                <pt idx="43">
                  <v>21</v>
                </pt>
                <pt idx="44">
                  <v>31</v>
                </pt>
                <pt idx="45">
                  <v>23</v>
                </pt>
                <pt idx="46">
                  <v>20</v>
                </pt>
                <pt idx="47">
                  <v>6</v>
                </pt>
                <pt idx="48">
                  <v>4</v>
                </pt>
                <pt idx="49">
                  <v>14</v>
                </pt>
                <pt idx="50">
                  <v>14</v>
                </pt>
                <pt idx="51">
                  <v>19</v>
                </pt>
                <pt idx="52">
                  <v>14</v>
                </pt>
                <pt idx="53">
                  <v>3</v>
                </pt>
                <pt idx="54">
                  <v>10</v>
                </pt>
                <pt idx="55">
                  <v>13</v>
                </pt>
                <pt idx="56">
                  <v>16</v>
                </pt>
                <pt idx="57">
                  <v>27</v>
                </pt>
                <pt idx="58">
                  <v>42</v>
                </pt>
                <pt idx="59">
                  <v>43</v>
                </pt>
                <pt idx="60">
                  <v>39</v>
                </pt>
                <pt idx="61">
                  <v>44</v>
                </pt>
                <pt idx="62">
                  <v>48</v>
                </pt>
                <pt idx="63">
                  <v>75</v>
                </pt>
                <pt idx="64">
                  <v>77</v>
                </pt>
                <pt idx="65">
                  <v>70</v>
                </pt>
                <pt idx="66">
                  <v>67</v>
                </pt>
                <pt idx="67">
                  <v>67</v>
                </pt>
                <pt idx="68">
                  <v>25</v>
                </pt>
                <pt idx="69">
                  <v>21</v>
                </pt>
                <pt idx="70">
                  <v>18</v>
                </pt>
                <pt idx="71">
                  <v>15</v>
                </pt>
                <pt idx="72">
                  <v>14</v>
                </pt>
                <pt idx="73">
                  <v>13</v>
                </pt>
                <pt idx="74">
                  <v>27</v>
                </pt>
                <pt idx="75">
                  <v>35</v>
                </pt>
                <pt idx="76">
                  <v>40</v>
                </pt>
                <pt idx="77">
                  <v>47</v>
                </pt>
                <pt idx="78">
                  <v>44</v>
                </pt>
                <pt idx="79">
                  <v>57</v>
                </pt>
                <pt idx="80">
                  <v>43</v>
                </pt>
                <pt idx="81">
                  <v>28</v>
                </pt>
                <pt idx="82">
                  <v>28</v>
                </pt>
                <pt idx="83">
                  <v>11</v>
                </pt>
                <pt idx="84">
                  <v>14</v>
                </pt>
                <pt idx="85">
                  <v>12</v>
                </pt>
                <pt idx="86">
                  <v>6</v>
                </pt>
                <pt idx="87">
                  <v>17</v>
                </pt>
                <pt idx="88">
                  <v>24</v>
                </pt>
                <pt idx="89">
                  <v>41</v>
                </pt>
                <pt idx="90">
                  <v>45</v>
                </pt>
                <pt idx="91">
                  <v>37</v>
                </pt>
                <pt idx="92">
                  <v>25</v>
                </pt>
                <pt idx="93">
                  <v>34</v>
                </pt>
                <pt idx="94">
                  <v>51</v>
                </pt>
                <pt idx="95">
                  <v>57</v>
                </pt>
                <pt idx="96">
                  <v>63</v>
                </pt>
                <pt idx="97">
                  <v>54</v>
                </pt>
                <pt idx="98">
                  <v>33</v>
                </pt>
                <pt idx="99">
                  <v>9</v>
                </pt>
              </numCache>
            </numRef>
          </val>
        </ser>
        <ser>
          <idx val="1"/>
          <order val="1"/>
          <tx>
            <strRef>
              <f>Sheet1!$J$1</f>
              <strCache>
                <ptCount val="1"/>
                <pt idx="0">
                  <v>多離開</v>
                </pt>
              </strCache>
            </strRef>
          </tx>
          <spPr>
            <a:ln>
              <a:prstDash val="solid"/>
            </a:ln>
          </spPr>
          <cat>
            <strRef>
              <f>Sheet1!$A$2:$A$101</f>
              <strCache>
                <ptCount val="100"/>
                <pt idx="0">
                  <v>DO_20260105.xlsx</v>
                </pt>
                <pt idx="1">
                  <v>DO_20260106.xlsx</v>
                </pt>
                <pt idx="2">
                  <v>DO_20260107.xlsx</v>
                </pt>
                <pt idx="3">
                  <v>DO_20260108.xlsx</v>
                </pt>
                <pt idx="4">
                  <v>DO_20260109.xlsx</v>
                </pt>
                <pt idx="5">
                  <v>DO_20260112.xlsx</v>
                </pt>
                <pt idx="6">
                  <v>DO_20260113.xlsx</v>
                </pt>
                <pt idx="7">
                  <v>DO_20260114.xlsx</v>
                </pt>
                <pt idx="8">
                  <v>DO_20260115.xlsx</v>
                </pt>
                <pt idx="9">
                  <v>DO_20260116.xlsx</v>
                </pt>
                <pt idx="10">
                  <v>DO_20260119.xlsx</v>
                </pt>
                <pt idx="11">
                  <v>DO_20260120.xlsx</v>
                </pt>
                <pt idx="12">
                  <v>DO_20260121.xlsx</v>
                </pt>
                <pt idx="13">
                  <v>DO_20260122.xlsx</v>
                </pt>
                <pt idx="14">
                  <v>DO_20260123.xlsx</v>
                </pt>
                <pt idx="15">
                  <v>DO_20260126.xlsx</v>
                </pt>
                <pt idx="16">
                  <v>DO_20260127.xlsx</v>
                </pt>
                <pt idx="17">
                  <v>DO_20260128.xlsx</v>
                </pt>
                <pt idx="18">
                  <v>DO_20260129.xlsx</v>
                </pt>
                <pt idx="19">
                  <v>DO_20260130.xlsx</v>
                </pt>
                <pt idx="20">
                  <v>DO_20260202.xlsx</v>
                </pt>
                <pt idx="21">
                  <v>DO_20260203.xlsx</v>
                </pt>
                <pt idx="22">
                  <v>DO_20260204.xlsx</v>
                </pt>
                <pt idx="23">
                  <v>DO_20260205.xlsx</v>
                </pt>
                <pt idx="24">
                  <v>DO_20260206.xlsx</v>
                </pt>
                <pt idx="25">
                  <v>DO_20260209.xlsx</v>
                </pt>
                <pt idx="26">
                  <v>DO_20260210.xlsx</v>
                </pt>
                <pt idx="27">
                  <v>DO_20260211.xlsx</v>
                </pt>
                <pt idx="28">
                  <v>DO_20260223.xlsx</v>
                </pt>
                <pt idx="29">
                  <v>DO_20260224.xlsx</v>
                </pt>
                <pt idx="30">
                  <v>DO_20260225.xlsx</v>
                </pt>
                <pt idx="31">
                  <v>DO_20260226.xlsx</v>
                </pt>
                <pt idx="32">
                  <v>DO_20260302.xlsx</v>
                </pt>
                <pt idx="33">
                  <v>DO_20260303.xlsx</v>
                </pt>
                <pt idx="34">
                  <v>DO_20260304.xlsx</v>
                </pt>
                <pt idx="35">
                  <v>DO_20260305.xlsx</v>
                </pt>
                <pt idx="36">
                  <v>DO_20260306.xlsx</v>
                </pt>
                <pt idx="37">
                  <v>DO_20260309.xlsx</v>
                </pt>
                <pt idx="38">
                  <v>DO_20260310.xlsx</v>
                </pt>
                <pt idx="39">
                  <v>DO_20260311.xlsx</v>
                </pt>
                <pt idx="40">
                  <v>DO_20260312.xlsx</v>
                </pt>
                <pt idx="41">
                  <v>DO_20260313.xlsx</v>
                </pt>
                <pt idx="42">
                  <v>DO_20260316.xlsx</v>
                </pt>
                <pt idx="43">
                  <v>DO_20260317.xlsx</v>
                </pt>
                <pt idx="44">
                  <v>DO_20260318.xlsx</v>
                </pt>
                <pt idx="45">
                  <v>DO_20260319.xlsx</v>
                </pt>
                <pt idx="46">
                  <v>DO_20260320.xlsx</v>
                </pt>
                <pt idx="47">
                  <v>DO_20260323.xlsx</v>
                </pt>
                <pt idx="48">
                  <v>DO_20260324.xlsx</v>
                </pt>
                <pt idx="49">
                  <v>DO_20260325.xlsx</v>
                </pt>
                <pt idx="50">
                  <v>DO_20260326.xlsx</v>
                </pt>
                <pt idx="51">
                  <v>DO_20260327.xlsx</v>
                </pt>
                <pt idx="52">
                  <v>DO_20260330.xlsx</v>
                </pt>
                <pt idx="53">
                  <v>DO_20260331.xlsx</v>
                </pt>
                <pt idx="54">
                  <v>DO_20260401.xlsx</v>
                </pt>
                <pt idx="55">
                  <v>DO_20260402.xlsx</v>
                </pt>
                <pt idx="56">
                  <v>DO_20260407.xlsx</v>
                </pt>
                <pt idx="57">
                  <v>DO_20260408.xlsx</v>
                </pt>
                <pt idx="58">
                  <v>DO_20260409.xlsx</v>
                </pt>
                <pt idx="59">
                  <v>DO_20260410.xlsx</v>
                </pt>
                <pt idx="60">
                  <v>DO_20260413.xlsx</v>
                </pt>
                <pt idx="61">
                  <v>DO_20260414.xlsx</v>
                </pt>
                <pt idx="62">
                  <v>DO_20260415.xlsx</v>
                </pt>
                <pt idx="63">
                  <v>DO_20260416.xlsx</v>
                </pt>
                <pt idx="64">
                  <v>DO_20260417.xlsx</v>
                </pt>
                <pt idx="65">
                  <v>DO_20260420.xlsx</v>
                </pt>
                <pt idx="66">
                  <v>DO_20260421.xlsx</v>
                </pt>
                <pt idx="67">
                  <v>DO_20260422.xlsx</v>
                </pt>
                <pt idx="68">
                  <v>DO_20260423.xlsx</v>
                </pt>
                <pt idx="69">
                  <v>DO_20260424.xlsx</v>
                </pt>
                <pt idx="70">
                  <v>DO_20260427.xlsx</v>
                </pt>
                <pt idx="71">
                  <v>DO_20260428.xlsx</v>
                </pt>
                <pt idx="72">
                  <v>DO_20260429.xlsx</v>
                </pt>
                <pt idx="73">
                  <v>DO_20260430.xlsx</v>
                </pt>
                <pt idx="74">
                  <v>DO_20260504.xlsx</v>
                </pt>
                <pt idx="75">
                  <v>DO_20260505.xlsx</v>
                </pt>
                <pt idx="76">
                  <v>DO_20260506.xlsx</v>
                </pt>
                <pt idx="77">
                  <v>DO_20260507.xlsx</v>
                </pt>
                <pt idx="78">
                  <v>DO_20260508.xlsx</v>
                </pt>
                <pt idx="79">
                  <v>DO_20260511.xlsx</v>
                </pt>
                <pt idx="80">
                  <v>DO_20260512.xlsx</v>
                </pt>
                <pt idx="81">
                  <v>DO_20260513.xlsx</v>
                </pt>
                <pt idx="82">
                  <v>DO_20260514.xlsx</v>
                </pt>
                <pt idx="83">
                  <v>DO_20260518.xlsx</v>
                </pt>
                <pt idx="84">
                  <v>DO_20260515.xlsx</v>
                </pt>
                <pt idx="85">
                  <v>DO_20260519.xlsx</v>
                </pt>
                <pt idx="86">
                  <v>DO_20260520.xlsx</v>
                </pt>
                <pt idx="87">
                  <v>DO_20260521.xlsx</v>
                </pt>
                <pt idx="88">
                  <v>DO_20260522.xlsx</v>
                </pt>
                <pt idx="89">
                  <v>DO_20260525.xlsx</v>
                </pt>
                <pt idx="90">
                  <v>DO_20260526.xlsx</v>
                </pt>
                <pt idx="91">
                  <v>DO_20260527.xlsx</v>
                </pt>
                <pt idx="92">
                  <v>DO_20260528.xlsx</v>
                </pt>
                <pt idx="93">
                  <v>DO_20260529.xlsx</v>
                </pt>
                <pt idx="94">
                  <v>DO_20260601.xlsx</v>
                </pt>
                <pt idx="95">
                  <v>DO_20260602.xlsx</v>
                </pt>
                <pt idx="96">
                  <v>DO_20260603.xlsx</v>
                </pt>
                <pt idx="97">
                  <v>DO_20260604.xlsx</v>
                </pt>
                <pt idx="98">
                  <v>DO_20260605.xlsx</v>
                </pt>
                <pt idx="99">
                  <v>DO_20260608.xlsx</v>
                </pt>
              </strCache>
            </strRef>
          </cat>
          <val>
            <numRef>
              <f>Sheet1!$J$2:$J$101</f>
              <numCache>
                <formatCode>General</formatCode>
                <ptCount val="100"/>
                <pt idx="0">
                  <v>4</v>
                </pt>
                <pt idx="1">
                  <v>3</v>
                </pt>
                <pt idx="2">
                  <v>4</v>
                </pt>
                <pt idx="3">
                  <v>14</v>
                </pt>
                <pt idx="4">
                  <v>14</v>
                </pt>
                <pt idx="5">
                  <v>4</v>
                </pt>
                <pt idx="6">
                  <v>15</v>
                </pt>
                <pt idx="7">
                  <v>9</v>
                </pt>
                <pt idx="8">
                  <v>6</v>
                </pt>
                <pt idx="9">
                  <v>10</v>
                </pt>
                <pt idx="10">
                  <v>15</v>
                </pt>
                <pt idx="11">
                  <v>14</v>
                </pt>
                <pt idx="12">
                  <v>20</v>
                </pt>
                <pt idx="13">
                  <v>8</v>
                </pt>
                <pt idx="14">
                  <v>10</v>
                </pt>
                <pt idx="15">
                  <v>11</v>
                </pt>
                <pt idx="16">
                  <v>8</v>
                </pt>
                <pt idx="17">
                  <v>7</v>
                </pt>
                <pt idx="18">
                  <v>20</v>
                </pt>
                <pt idx="19">
                  <v>12</v>
                </pt>
                <pt idx="20">
                  <v>12</v>
                </pt>
                <pt idx="21">
                  <v>1</v>
                </pt>
                <pt idx="22">
                  <v>0</v>
                </pt>
                <pt idx="23">
                  <v>13</v>
                </pt>
                <pt idx="24">
                  <v>8</v>
                </pt>
                <pt idx="25">
                  <v>4</v>
                </pt>
                <pt idx="26">
                  <v>2</v>
                </pt>
                <pt idx="27">
                  <v>4</v>
                </pt>
                <pt idx="28">
                  <v>6</v>
                </pt>
                <pt idx="29">
                  <v>6</v>
                </pt>
                <pt idx="30">
                  <v>2</v>
                </pt>
                <pt idx="31">
                  <v>11</v>
                </pt>
                <pt idx="32">
                  <v>23</v>
                </pt>
                <pt idx="33">
                  <v>29</v>
                </pt>
                <pt idx="34">
                  <v>16</v>
                </pt>
                <pt idx="35">
                  <v>3</v>
                </pt>
                <pt idx="36">
                  <v>1</v>
                </pt>
                <pt idx="37">
                  <v>7</v>
                </pt>
                <pt idx="38">
                  <v>3</v>
                </pt>
                <pt idx="39">
                  <v>0</v>
                </pt>
                <pt idx="40">
                  <v>1</v>
                </pt>
                <pt idx="41">
                  <v>5</v>
                </pt>
                <pt idx="42">
                  <v>8</v>
                </pt>
                <pt idx="43">
                  <v>0</v>
                </pt>
                <pt idx="44">
                  <v>3</v>
                </pt>
                <pt idx="45">
                  <v>13</v>
                </pt>
                <pt idx="46">
                  <v>9</v>
                </pt>
                <pt idx="47">
                  <v>14</v>
                </pt>
                <pt idx="48">
                  <v>5</v>
                </pt>
                <pt idx="49">
                  <v>1</v>
                </pt>
                <pt idx="50">
                  <v>5</v>
                </pt>
                <pt idx="51">
                  <v>2</v>
                </pt>
                <pt idx="52">
                  <v>10</v>
                </pt>
                <pt idx="53">
                  <v>11</v>
                </pt>
                <pt idx="54">
                  <v>1</v>
                </pt>
                <pt idx="55">
                  <v>1</v>
                </pt>
                <pt idx="56">
                  <v>4</v>
                </pt>
                <pt idx="57">
                  <v>0</v>
                </pt>
                <pt idx="58">
                  <v>4</v>
                </pt>
                <pt idx="59">
                  <v>4</v>
                </pt>
                <pt idx="60">
                  <v>12</v>
                </pt>
                <pt idx="61">
                  <v>9</v>
                </pt>
                <pt idx="62">
                  <v>9</v>
                </pt>
                <pt idx="63">
                  <v>1</v>
                </pt>
                <pt idx="64">
                  <v>14</v>
                </pt>
                <pt idx="65">
                  <v>14</v>
                </pt>
                <pt idx="66">
                  <v>13</v>
                </pt>
                <pt idx="67">
                  <v>7</v>
                </pt>
                <pt idx="68">
                  <v>45</v>
                </pt>
                <pt idx="69">
                  <v>12</v>
                </pt>
                <pt idx="70">
                  <v>10</v>
                </pt>
                <pt idx="71">
                  <v>7</v>
                </pt>
                <pt idx="72">
                  <v>6</v>
                </pt>
                <pt idx="73">
                  <v>7</v>
                </pt>
                <pt idx="74">
                  <v>2</v>
                </pt>
                <pt idx="75">
                  <v>5</v>
                </pt>
                <pt idx="76">
                  <v>6</v>
                </pt>
                <pt idx="77">
                  <v>4</v>
                </pt>
                <pt idx="78">
                  <v>10</v>
                </pt>
                <pt idx="79">
                  <v>6</v>
                </pt>
                <pt idx="80">
                  <v>19</v>
                </pt>
                <pt idx="81">
                  <v>21</v>
                </pt>
                <pt idx="82">
                  <v>9</v>
                </pt>
                <pt idx="83">
                  <v>8</v>
                </pt>
                <pt idx="84">
                  <v>5</v>
                </pt>
                <pt idx="85">
                  <v>10</v>
                </pt>
                <pt idx="86">
                  <v>12</v>
                </pt>
                <pt idx="87">
                  <v>0</v>
                </pt>
                <pt idx="88">
                  <v>3</v>
                </pt>
                <pt idx="89">
                  <v>1</v>
                </pt>
                <pt idx="90">
                  <v>8</v>
                </pt>
                <pt idx="91">
                  <v>12</v>
                </pt>
                <pt idx="92">
                  <v>19</v>
                </pt>
                <pt idx="93">
                  <v>6</v>
                </pt>
                <pt idx="94">
                  <v>4</v>
                </pt>
                <pt idx="95">
                  <v>10</v>
                </pt>
                <pt idx="96">
                  <v>7</v>
                </pt>
                <pt idx="97">
                  <v>21</v>
                </pt>
                <pt idx="98">
                  <v>27</v>
                </pt>
                <pt idx="99">
                  <v>24</v>
                </pt>
              </numCache>
            </numRef>
          </val>
        </ser>
        <ser>
          <idx val="2"/>
          <order val="2"/>
          <tx>
            <strRef>
              <f>Sheet1!$K$1</f>
              <strCache>
                <ptCount val="1"/>
                <pt idx="0">
                  <v>空</v>
                </pt>
              </strCache>
            </strRef>
          </tx>
          <spPr>
            <a:ln>
              <a:prstDash val="solid"/>
            </a:ln>
          </spPr>
          <cat>
            <strRef>
              <f>Sheet1!$A$2:$A$101</f>
              <strCache>
                <ptCount val="100"/>
                <pt idx="0">
                  <v>DO_20260105.xlsx</v>
                </pt>
                <pt idx="1">
                  <v>DO_20260106.xlsx</v>
                </pt>
                <pt idx="2">
                  <v>DO_20260107.xlsx</v>
                </pt>
                <pt idx="3">
                  <v>DO_20260108.xlsx</v>
                </pt>
                <pt idx="4">
                  <v>DO_20260109.xlsx</v>
                </pt>
                <pt idx="5">
                  <v>DO_20260112.xlsx</v>
                </pt>
                <pt idx="6">
                  <v>DO_20260113.xlsx</v>
                </pt>
                <pt idx="7">
                  <v>DO_20260114.xlsx</v>
                </pt>
                <pt idx="8">
                  <v>DO_20260115.xlsx</v>
                </pt>
                <pt idx="9">
                  <v>DO_20260116.xlsx</v>
                </pt>
                <pt idx="10">
                  <v>DO_20260119.xlsx</v>
                </pt>
                <pt idx="11">
                  <v>DO_20260120.xlsx</v>
                </pt>
                <pt idx="12">
                  <v>DO_20260121.xlsx</v>
                </pt>
                <pt idx="13">
                  <v>DO_20260122.xlsx</v>
                </pt>
                <pt idx="14">
                  <v>DO_20260123.xlsx</v>
                </pt>
                <pt idx="15">
                  <v>DO_20260126.xlsx</v>
                </pt>
                <pt idx="16">
                  <v>DO_20260127.xlsx</v>
                </pt>
                <pt idx="17">
                  <v>DO_20260128.xlsx</v>
                </pt>
                <pt idx="18">
                  <v>DO_20260129.xlsx</v>
                </pt>
                <pt idx="19">
                  <v>DO_20260130.xlsx</v>
                </pt>
                <pt idx="20">
                  <v>DO_20260202.xlsx</v>
                </pt>
                <pt idx="21">
                  <v>DO_20260203.xlsx</v>
                </pt>
                <pt idx="22">
                  <v>DO_20260204.xlsx</v>
                </pt>
                <pt idx="23">
                  <v>DO_20260205.xlsx</v>
                </pt>
                <pt idx="24">
                  <v>DO_20260206.xlsx</v>
                </pt>
                <pt idx="25">
                  <v>DO_20260209.xlsx</v>
                </pt>
                <pt idx="26">
                  <v>DO_20260210.xlsx</v>
                </pt>
                <pt idx="27">
                  <v>DO_20260211.xlsx</v>
                </pt>
                <pt idx="28">
                  <v>DO_20260223.xlsx</v>
                </pt>
                <pt idx="29">
                  <v>DO_20260224.xlsx</v>
                </pt>
                <pt idx="30">
                  <v>DO_20260225.xlsx</v>
                </pt>
                <pt idx="31">
                  <v>DO_20260226.xlsx</v>
                </pt>
                <pt idx="32">
                  <v>DO_20260302.xlsx</v>
                </pt>
                <pt idx="33">
                  <v>DO_20260303.xlsx</v>
                </pt>
                <pt idx="34">
                  <v>DO_20260304.xlsx</v>
                </pt>
                <pt idx="35">
                  <v>DO_20260305.xlsx</v>
                </pt>
                <pt idx="36">
                  <v>DO_20260306.xlsx</v>
                </pt>
                <pt idx="37">
                  <v>DO_20260309.xlsx</v>
                </pt>
                <pt idx="38">
                  <v>DO_20260310.xlsx</v>
                </pt>
                <pt idx="39">
                  <v>DO_20260311.xlsx</v>
                </pt>
                <pt idx="40">
                  <v>DO_20260312.xlsx</v>
                </pt>
                <pt idx="41">
                  <v>DO_20260313.xlsx</v>
                </pt>
                <pt idx="42">
                  <v>DO_20260316.xlsx</v>
                </pt>
                <pt idx="43">
                  <v>DO_20260317.xlsx</v>
                </pt>
                <pt idx="44">
                  <v>DO_20260318.xlsx</v>
                </pt>
                <pt idx="45">
                  <v>DO_20260319.xlsx</v>
                </pt>
                <pt idx="46">
                  <v>DO_20260320.xlsx</v>
                </pt>
                <pt idx="47">
                  <v>DO_20260323.xlsx</v>
                </pt>
                <pt idx="48">
                  <v>DO_20260324.xlsx</v>
                </pt>
                <pt idx="49">
                  <v>DO_20260325.xlsx</v>
                </pt>
                <pt idx="50">
                  <v>DO_20260326.xlsx</v>
                </pt>
                <pt idx="51">
                  <v>DO_20260327.xlsx</v>
                </pt>
                <pt idx="52">
                  <v>DO_20260330.xlsx</v>
                </pt>
                <pt idx="53">
                  <v>DO_20260331.xlsx</v>
                </pt>
                <pt idx="54">
                  <v>DO_20260401.xlsx</v>
                </pt>
                <pt idx="55">
                  <v>DO_20260402.xlsx</v>
                </pt>
                <pt idx="56">
                  <v>DO_20260407.xlsx</v>
                </pt>
                <pt idx="57">
                  <v>DO_20260408.xlsx</v>
                </pt>
                <pt idx="58">
                  <v>DO_20260409.xlsx</v>
                </pt>
                <pt idx="59">
                  <v>DO_20260410.xlsx</v>
                </pt>
                <pt idx="60">
                  <v>DO_20260413.xlsx</v>
                </pt>
                <pt idx="61">
                  <v>DO_20260414.xlsx</v>
                </pt>
                <pt idx="62">
                  <v>DO_20260415.xlsx</v>
                </pt>
                <pt idx="63">
                  <v>DO_20260416.xlsx</v>
                </pt>
                <pt idx="64">
                  <v>DO_20260417.xlsx</v>
                </pt>
                <pt idx="65">
                  <v>DO_20260420.xlsx</v>
                </pt>
                <pt idx="66">
                  <v>DO_20260421.xlsx</v>
                </pt>
                <pt idx="67">
                  <v>DO_20260422.xlsx</v>
                </pt>
                <pt idx="68">
                  <v>DO_20260423.xlsx</v>
                </pt>
                <pt idx="69">
                  <v>DO_20260424.xlsx</v>
                </pt>
                <pt idx="70">
                  <v>DO_20260427.xlsx</v>
                </pt>
                <pt idx="71">
                  <v>DO_20260428.xlsx</v>
                </pt>
                <pt idx="72">
                  <v>DO_20260429.xlsx</v>
                </pt>
                <pt idx="73">
                  <v>DO_20260430.xlsx</v>
                </pt>
                <pt idx="74">
                  <v>DO_20260504.xlsx</v>
                </pt>
                <pt idx="75">
                  <v>DO_20260505.xlsx</v>
                </pt>
                <pt idx="76">
                  <v>DO_20260506.xlsx</v>
                </pt>
                <pt idx="77">
                  <v>DO_20260507.xlsx</v>
                </pt>
                <pt idx="78">
                  <v>DO_20260508.xlsx</v>
                </pt>
                <pt idx="79">
                  <v>DO_20260511.xlsx</v>
                </pt>
                <pt idx="80">
                  <v>DO_20260512.xlsx</v>
                </pt>
                <pt idx="81">
                  <v>DO_20260513.xlsx</v>
                </pt>
                <pt idx="82">
                  <v>DO_20260514.xlsx</v>
                </pt>
                <pt idx="83">
                  <v>DO_20260518.xlsx</v>
                </pt>
                <pt idx="84">
                  <v>DO_20260515.xlsx</v>
                </pt>
                <pt idx="85">
                  <v>DO_20260519.xlsx</v>
                </pt>
                <pt idx="86">
                  <v>DO_20260520.xlsx</v>
                </pt>
                <pt idx="87">
                  <v>DO_20260521.xlsx</v>
                </pt>
                <pt idx="88">
                  <v>DO_20260522.xlsx</v>
                </pt>
                <pt idx="89">
                  <v>DO_20260525.xlsx</v>
                </pt>
                <pt idx="90">
                  <v>DO_20260526.xlsx</v>
                </pt>
                <pt idx="91">
                  <v>DO_20260527.xlsx</v>
                </pt>
                <pt idx="92">
                  <v>DO_20260528.xlsx</v>
                </pt>
                <pt idx="93">
                  <v>DO_20260529.xlsx</v>
                </pt>
                <pt idx="94">
                  <v>DO_20260601.xlsx</v>
                </pt>
                <pt idx="95">
                  <v>DO_20260602.xlsx</v>
                </pt>
                <pt idx="96">
                  <v>DO_20260603.xlsx</v>
                </pt>
                <pt idx="97">
                  <v>DO_20260604.xlsx</v>
                </pt>
                <pt idx="98">
                  <v>DO_20260605.xlsx</v>
                </pt>
                <pt idx="99">
                  <v>DO_20260608.xlsx</v>
                </pt>
              </strCache>
            </strRef>
          </cat>
          <val>
            <numRef>
              <f>Sheet1!$K$2:$K$101</f>
              <numCache>
                <formatCode>General</formatCode>
                <ptCount val="100"/>
                <pt idx="0">
                  <v>19</v>
                </pt>
                <pt idx="1">
                  <v>17</v>
                </pt>
                <pt idx="2">
                  <v>11</v>
                </pt>
                <pt idx="3">
                  <v>14</v>
                </pt>
                <pt idx="4">
                  <v>8</v>
                </pt>
                <pt idx="5">
                  <v>13</v>
                </pt>
                <pt idx="6">
                  <v>15</v>
                </pt>
                <pt idx="7">
                  <v>10</v>
                </pt>
                <pt idx="8">
                  <v>12</v>
                </pt>
                <pt idx="9">
                  <v>18</v>
                </pt>
                <pt idx="10">
                  <v>21</v>
                </pt>
                <pt idx="11">
                  <v>22</v>
                </pt>
                <pt idx="12">
                  <v>36</v>
                </pt>
                <pt idx="13">
                  <v>29</v>
                </pt>
                <pt idx="14">
                  <v>24</v>
                </pt>
                <pt idx="15">
                  <v>17</v>
                </pt>
                <pt idx="16">
                  <v>19</v>
                </pt>
                <pt idx="17">
                  <v>16</v>
                </pt>
                <pt idx="18">
                  <v>20</v>
                </pt>
                <pt idx="19">
                  <v>33</v>
                </pt>
                <pt idx="20">
                  <v>41</v>
                </pt>
                <pt idx="21">
                  <v>33</v>
                </pt>
                <pt idx="22">
                  <v>21</v>
                </pt>
                <pt idx="23">
                  <v>18</v>
                </pt>
                <pt idx="24">
                  <v>24</v>
                </pt>
                <pt idx="25">
                  <v>26</v>
                </pt>
                <pt idx="26">
                  <v>22</v>
                </pt>
                <pt idx="27">
                  <v>11</v>
                </pt>
                <pt idx="28">
                  <v>8</v>
                </pt>
                <pt idx="29">
                  <v>6</v>
                </pt>
                <pt idx="30">
                  <v>8</v>
                </pt>
                <pt idx="31">
                  <v>8</v>
                </pt>
                <pt idx="32">
                  <v>10</v>
                </pt>
                <pt idx="33">
                  <v>18</v>
                </pt>
                <pt idx="34">
                  <v>36</v>
                </pt>
                <pt idx="35">
                  <v>37</v>
                </pt>
                <pt idx="36">
                  <v>29</v>
                </pt>
                <pt idx="37">
                  <v>42</v>
                </pt>
                <pt idx="38">
                  <v>47</v>
                </pt>
                <pt idx="39">
                  <v>21</v>
                </pt>
                <pt idx="40">
                  <v>28</v>
                </pt>
                <pt idx="41">
                  <v>31</v>
                </pt>
                <pt idx="42">
                  <v>25</v>
                </pt>
                <pt idx="43">
                  <v>21</v>
                </pt>
                <pt idx="44">
                  <v>13</v>
                </pt>
                <pt idx="45">
                  <v>20</v>
                </pt>
                <pt idx="46">
                  <v>26</v>
                </pt>
                <pt idx="47">
                  <v>51</v>
                </pt>
                <pt idx="48">
                  <v>59</v>
                </pt>
                <pt idx="49">
                  <v>24</v>
                </pt>
                <pt idx="50">
                  <v>34</v>
                </pt>
                <pt idx="51">
                  <v>31</v>
                </pt>
                <pt idx="52">
                  <v>50</v>
                </pt>
                <pt idx="53">
                  <v>57</v>
                </pt>
                <pt idx="54">
                  <v>27</v>
                </pt>
                <pt idx="55">
                  <v>32</v>
                </pt>
                <pt idx="56">
                  <v>21</v>
                </pt>
                <pt idx="57">
                  <v>4</v>
                </pt>
                <pt idx="58">
                  <v>7</v>
                </pt>
                <pt idx="59">
                  <v>2</v>
                </pt>
                <pt idx="60">
                  <v>4</v>
                </pt>
                <pt idx="61">
                  <v>5</v>
                </pt>
                <pt idx="62">
                  <v>3</v>
                </pt>
                <pt idx="63">
                  <v>2</v>
                </pt>
                <pt idx="64">
                  <v>5</v>
                </pt>
                <pt idx="65">
                  <v>8</v>
                </pt>
                <pt idx="66">
                  <v>6</v>
                </pt>
                <pt idx="67">
                  <v>10</v>
                </pt>
                <pt idx="68">
                  <v>13</v>
                </pt>
                <pt idx="69">
                  <v>15</v>
                </pt>
                <pt idx="70">
                  <v>19</v>
                </pt>
                <pt idx="71">
                  <v>14</v>
                </pt>
                <pt idx="72">
                  <v>7</v>
                </pt>
                <pt idx="73">
                  <v>20</v>
                </pt>
                <pt idx="74">
                  <v>21</v>
                </pt>
                <pt idx="75">
                  <v>19</v>
                </pt>
                <pt idx="76">
                  <v>11</v>
                </pt>
                <pt idx="77">
                  <v>6</v>
                </pt>
                <pt idx="78">
                  <v>8</v>
                </pt>
                <pt idx="79">
                  <v>11</v>
                </pt>
                <pt idx="80">
                  <v>19</v>
                </pt>
                <pt idx="81">
                  <v>21</v>
                </pt>
                <pt idx="82">
                  <v>25</v>
                </pt>
                <pt idx="83">
                  <v>38</v>
                </pt>
                <pt idx="84">
                  <v>33</v>
                </pt>
                <pt idx="85">
                  <v>27</v>
                </pt>
                <pt idx="86">
                  <v>32</v>
                </pt>
                <pt idx="87">
                  <v>10</v>
                </pt>
                <pt idx="88">
                  <v>13</v>
                </pt>
                <pt idx="89">
                  <v>12</v>
                </pt>
                <pt idx="90">
                  <v>12</v>
                </pt>
                <pt idx="91">
                  <v>11</v>
                </pt>
                <pt idx="92">
                  <v>18</v>
                </pt>
                <pt idx="93">
                  <v>8</v>
                </pt>
                <pt idx="94">
                  <v>6</v>
                </pt>
                <pt idx="95">
                  <v>9</v>
                </pt>
                <pt idx="96">
                  <v>4</v>
                </pt>
                <pt idx="97">
                  <v>7</v>
                </pt>
                <pt idx="98">
                  <v>7</v>
                </pt>
                <pt idx="99">
                  <v>9</v>
                </pt>
              </numCache>
            </numRef>
          </val>
        </ser>
        <ser>
          <idx val="3"/>
          <order val="3"/>
          <tx>
            <strRef>
              <f>Sheet1!$L$1</f>
              <strCache>
                <ptCount val="1"/>
                <pt idx="0">
                  <v>空離開</v>
                </pt>
              </strCache>
            </strRef>
          </tx>
          <spPr>
            <a:ln>
              <a:prstDash val="solid"/>
            </a:ln>
          </spPr>
          <cat>
            <strRef>
              <f>Sheet1!$A$2:$A$101</f>
              <strCache>
                <ptCount val="100"/>
                <pt idx="0">
                  <v>DO_20260105.xlsx</v>
                </pt>
                <pt idx="1">
                  <v>DO_20260106.xlsx</v>
                </pt>
                <pt idx="2">
                  <v>DO_20260107.xlsx</v>
                </pt>
                <pt idx="3">
                  <v>DO_20260108.xlsx</v>
                </pt>
                <pt idx="4">
                  <v>DO_20260109.xlsx</v>
                </pt>
                <pt idx="5">
                  <v>DO_20260112.xlsx</v>
                </pt>
                <pt idx="6">
                  <v>DO_20260113.xlsx</v>
                </pt>
                <pt idx="7">
                  <v>DO_20260114.xlsx</v>
                </pt>
                <pt idx="8">
                  <v>DO_20260115.xlsx</v>
                </pt>
                <pt idx="9">
                  <v>DO_20260116.xlsx</v>
                </pt>
                <pt idx="10">
                  <v>DO_20260119.xlsx</v>
                </pt>
                <pt idx="11">
                  <v>DO_20260120.xlsx</v>
                </pt>
                <pt idx="12">
                  <v>DO_20260121.xlsx</v>
                </pt>
                <pt idx="13">
                  <v>DO_20260122.xlsx</v>
                </pt>
                <pt idx="14">
                  <v>DO_20260123.xlsx</v>
                </pt>
                <pt idx="15">
                  <v>DO_20260126.xlsx</v>
                </pt>
                <pt idx="16">
                  <v>DO_20260127.xlsx</v>
                </pt>
                <pt idx="17">
                  <v>DO_20260128.xlsx</v>
                </pt>
                <pt idx="18">
                  <v>DO_20260129.xlsx</v>
                </pt>
                <pt idx="19">
                  <v>DO_20260130.xlsx</v>
                </pt>
                <pt idx="20">
                  <v>DO_20260202.xlsx</v>
                </pt>
                <pt idx="21">
                  <v>DO_20260203.xlsx</v>
                </pt>
                <pt idx="22">
                  <v>DO_20260204.xlsx</v>
                </pt>
                <pt idx="23">
                  <v>DO_20260205.xlsx</v>
                </pt>
                <pt idx="24">
                  <v>DO_20260206.xlsx</v>
                </pt>
                <pt idx="25">
                  <v>DO_20260209.xlsx</v>
                </pt>
                <pt idx="26">
                  <v>DO_20260210.xlsx</v>
                </pt>
                <pt idx="27">
                  <v>DO_20260211.xlsx</v>
                </pt>
                <pt idx="28">
                  <v>DO_20260223.xlsx</v>
                </pt>
                <pt idx="29">
                  <v>DO_20260224.xlsx</v>
                </pt>
                <pt idx="30">
                  <v>DO_20260225.xlsx</v>
                </pt>
                <pt idx="31">
                  <v>DO_20260226.xlsx</v>
                </pt>
                <pt idx="32">
                  <v>DO_20260302.xlsx</v>
                </pt>
                <pt idx="33">
                  <v>DO_20260303.xlsx</v>
                </pt>
                <pt idx="34">
                  <v>DO_20260304.xlsx</v>
                </pt>
                <pt idx="35">
                  <v>DO_20260305.xlsx</v>
                </pt>
                <pt idx="36">
                  <v>DO_20260306.xlsx</v>
                </pt>
                <pt idx="37">
                  <v>DO_20260309.xlsx</v>
                </pt>
                <pt idx="38">
                  <v>DO_20260310.xlsx</v>
                </pt>
                <pt idx="39">
                  <v>DO_20260311.xlsx</v>
                </pt>
                <pt idx="40">
                  <v>DO_20260312.xlsx</v>
                </pt>
                <pt idx="41">
                  <v>DO_20260313.xlsx</v>
                </pt>
                <pt idx="42">
                  <v>DO_20260316.xlsx</v>
                </pt>
                <pt idx="43">
                  <v>DO_20260317.xlsx</v>
                </pt>
                <pt idx="44">
                  <v>DO_20260318.xlsx</v>
                </pt>
                <pt idx="45">
                  <v>DO_20260319.xlsx</v>
                </pt>
                <pt idx="46">
                  <v>DO_20260320.xlsx</v>
                </pt>
                <pt idx="47">
                  <v>DO_20260323.xlsx</v>
                </pt>
                <pt idx="48">
                  <v>DO_20260324.xlsx</v>
                </pt>
                <pt idx="49">
                  <v>DO_20260325.xlsx</v>
                </pt>
                <pt idx="50">
                  <v>DO_20260326.xlsx</v>
                </pt>
                <pt idx="51">
                  <v>DO_20260327.xlsx</v>
                </pt>
                <pt idx="52">
                  <v>DO_20260330.xlsx</v>
                </pt>
                <pt idx="53">
                  <v>DO_20260331.xlsx</v>
                </pt>
                <pt idx="54">
                  <v>DO_20260401.xlsx</v>
                </pt>
                <pt idx="55">
                  <v>DO_20260402.xlsx</v>
                </pt>
                <pt idx="56">
                  <v>DO_20260407.xlsx</v>
                </pt>
                <pt idx="57">
                  <v>DO_20260408.xlsx</v>
                </pt>
                <pt idx="58">
                  <v>DO_20260409.xlsx</v>
                </pt>
                <pt idx="59">
                  <v>DO_20260410.xlsx</v>
                </pt>
                <pt idx="60">
                  <v>DO_20260413.xlsx</v>
                </pt>
                <pt idx="61">
                  <v>DO_20260414.xlsx</v>
                </pt>
                <pt idx="62">
                  <v>DO_20260415.xlsx</v>
                </pt>
                <pt idx="63">
                  <v>DO_20260416.xlsx</v>
                </pt>
                <pt idx="64">
                  <v>DO_20260417.xlsx</v>
                </pt>
                <pt idx="65">
                  <v>DO_20260420.xlsx</v>
                </pt>
                <pt idx="66">
                  <v>DO_20260421.xlsx</v>
                </pt>
                <pt idx="67">
                  <v>DO_20260422.xlsx</v>
                </pt>
                <pt idx="68">
                  <v>DO_20260423.xlsx</v>
                </pt>
                <pt idx="69">
                  <v>DO_20260424.xlsx</v>
                </pt>
                <pt idx="70">
                  <v>DO_20260427.xlsx</v>
                </pt>
                <pt idx="71">
                  <v>DO_20260428.xlsx</v>
                </pt>
                <pt idx="72">
                  <v>DO_20260429.xlsx</v>
                </pt>
                <pt idx="73">
                  <v>DO_20260430.xlsx</v>
                </pt>
                <pt idx="74">
                  <v>DO_20260504.xlsx</v>
                </pt>
                <pt idx="75">
                  <v>DO_20260505.xlsx</v>
                </pt>
                <pt idx="76">
                  <v>DO_20260506.xlsx</v>
                </pt>
                <pt idx="77">
                  <v>DO_20260507.xlsx</v>
                </pt>
                <pt idx="78">
                  <v>DO_20260508.xlsx</v>
                </pt>
                <pt idx="79">
                  <v>DO_20260511.xlsx</v>
                </pt>
                <pt idx="80">
                  <v>DO_20260512.xlsx</v>
                </pt>
                <pt idx="81">
                  <v>DO_20260513.xlsx</v>
                </pt>
                <pt idx="82">
                  <v>DO_20260514.xlsx</v>
                </pt>
                <pt idx="83">
                  <v>DO_20260518.xlsx</v>
                </pt>
                <pt idx="84">
                  <v>DO_20260515.xlsx</v>
                </pt>
                <pt idx="85">
                  <v>DO_20260519.xlsx</v>
                </pt>
                <pt idx="86">
                  <v>DO_20260520.xlsx</v>
                </pt>
                <pt idx="87">
                  <v>DO_20260521.xlsx</v>
                </pt>
                <pt idx="88">
                  <v>DO_20260522.xlsx</v>
                </pt>
                <pt idx="89">
                  <v>DO_20260525.xlsx</v>
                </pt>
                <pt idx="90">
                  <v>DO_20260526.xlsx</v>
                </pt>
                <pt idx="91">
                  <v>DO_20260527.xlsx</v>
                </pt>
                <pt idx="92">
                  <v>DO_20260528.xlsx</v>
                </pt>
                <pt idx="93">
                  <v>DO_20260529.xlsx</v>
                </pt>
                <pt idx="94">
                  <v>DO_20260601.xlsx</v>
                </pt>
                <pt idx="95">
                  <v>DO_20260602.xlsx</v>
                </pt>
                <pt idx="96">
                  <v>DO_20260603.xlsx</v>
                </pt>
                <pt idx="97">
                  <v>DO_20260604.xlsx</v>
                </pt>
                <pt idx="98">
                  <v>DO_20260605.xlsx</v>
                </pt>
                <pt idx="99">
                  <v>DO_20260608.xlsx</v>
                </pt>
              </strCache>
            </strRef>
          </cat>
          <val>
            <numRef>
              <f>Sheet1!$L$2:$L$101</f>
              <numCache>
                <formatCode>General</formatCode>
                <ptCount val="100"/>
                <pt idx="0">
                  <v>3</v>
                </pt>
                <pt idx="1">
                  <v>5</v>
                </pt>
                <pt idx="2">
                  <v>9</v>
                </pt>
                <pt idx="3">
                  <v>4</v>
                </pt>
                <pt idx="4">
                  <v>10</v>
                </pt>
                <pt idx="5">
                  <v>2</v>
                </pt>
                <pt idx="6">
                  <v>4</v>
                </pt>
                <pt idx="7">
                  <v>7</v>
                </pt>
                <pt idx="8">
                  <v>2</v>
                </pt>
                <pt idx="9">
                  <v>3</v>
                </pt>
                <pt idx="10">
                  <v>4</v>
                </pt>
                <pt idx="11">
                  <v>5</v>
                </pt>
                <pt idx="12">
                  <v>0</v>
                </pt>
                <pt idx="13">
                  <v>17</v>
                </pt>
                <pt idx="14">
                  <v>11</v>
                </pt>
                <pt idx="15">
                  <v>10</v>
                </pt>
                <pt idx="16">
                  <v>4</v>
                </pt>
                <pt idx="17">
                  <v>8</v>
                </pt>
                <pt idx="18">
                  <v>4</v>
                </pt>
                <pt idx="19">
                  <v>2</v>
                </pt>
                <pt idx="20">
                  <v>8</v>
                </pt>
                <pt idx="21">
                  <v>15</v>
                </pt>
                <pt idx="22">
                  <v>18</v>
                </pt>
                <pt idx="23">
                  <v>10</v>
                </pt>
                <pt idx="24">
                  <v>4</v>
                </pt>
                <pt idx="25">
                  <v>7</v>
                </pt>
                <pt idx="26">
                  <v>11</v>
                </pt>
                <pt idx="27">
                  <v>13</v>
                </pt>
                <pt idx="28">
                  <v>6</v>
                </pt>
                <pt idx="29">
                  <v>4</v>
                </pt>
                <pt idx="30">
                  <v>1</v>
                </pt>
                <pt idx="31">
                  <v>2</v>
                </pt>
                <pt idx="32">
                  <v>2</v>
                </pt>
                <pt idx="33">
                  <v>0</v>
                </pt>
                <pt idx="34">
                  <v>0</v>
                </pt>
                <pt idx="35">
                  <v>7</v>
                </pt>
                <pt idx="36">
                  <v>14</v>
                </pt>
                <pt idx="37">
                  <v>2</v>
                </pt>
                <pt idx="38">
                  <v>5</v>
                </pt>
                <pt idx="39">
                  <v>27</v>
                </pt>
                <pt idx="40">
                  <v>5</v>
                </pt>
                <pt idx="41">
                  <v>6</v>
                </pt>
                <pt idx="42">
                  <v>13</v>
                </pt>
                <pt idx="43">
                  <v>6</v>
                </pt>
                <pt idx="44">
                  <v>11</v>
                </pt>
                <pt idx="45">
                  <v>1</v>
                </pt>
                <pt idx="46">
                  <v>4</v>
                </pt>
                <pt idx="47">
                  <v>2</v>
                </pt>
                <pt idx="48">
                  <v>10</v>
                </pt>
                <pt idx="49">
                  <v>41</v>
                </pt>
                <pt idx="50">
                  <v>7</v>
                </pt>
                <pt idx="51">
                  <v>11</v>
                </pt>
                <pt idx="52">
                  <v>3</v>
                </pt>
                <pt idx="53">
                  <v>4</v>
                </pt>
                <pt idx="54">
                  <v>33</v>
                </pt>
                <pt idx="55">
                  <v>4</v>
                </pt>
                <pt idx="56">
                  <v>15</v>
                </pt>
                <pt idx="57">
                  <v>17</v>
                </pt>
                <pt idx="58">
                  <v>1</v>
                </pt>
                <pt idx="59">
                  <v>5</v>
                </pt>
                <pt idx="60">
                  <v>2</v>
                </pt>
                <pt idx="61">
                  <v>0</v>
                </pt>
                <pt idx="62">
                  <v>3</v>
                </pt>
                <pt idx="63">
                  <v>2</v>
                </pt>
                <pt idx="64">
                  <v>0</v>
                </pt>
                <pt idx="65">
                  <v>0</v>
                </pt>
                <pt idx="66">
                  <v>4</v>
                </pt>
                <pt idx="67">
                  <v>0</v>
                </pt>
                <pt idx="68">
                  <v>1</v>
                </pt>
                <pt idx="69">
                  <v>1</v>
                </pt>
                <pt idx="70">
                  <v>1</v>
                </pt>
                <pt idx="71">
                  <v>8</v>
                </pt>
                <pt idx="72">
                  <v>11</v>
                </pt>
                <pt idx="73">
                  <v>2</v>
                </pt>
                <pt idx="74">
                  <v>5</v>
                </pt>
                <pt idx="75">
                  <v>7</v>
                </pt>
                <pt idx="76">
                  <v>11</v>
                </pt>
                <pt idx="77">
                  <v>7</v>
                </pt>
                <pt idx="78">
                  <v>4</v>
                </pt>
                <pt idx="79">
                  <v>2</v>
                </pt>
                <pt idx="80">
                  <v>2</v>
                </pt>
                <pt idx="81">
                  <v>2</v>
                </pt>
                <pt idx="82">
                  <v>3</v>
                </pt>
                <pt idx="83">
                  <v>5</v>
                </pt>
                <pt idx="84">
                  <v>10</v>
                </pt>
                <pt idx="85">
                  <v>17</v>
                </pt>
                <pt idx="86">
                  <v>6</v>
                </pt>
                <pt idx="87">
                  <v>23</v>
                </pt>
                <pt idx="88">
                  <v>3</v>
                </pt>
                <pt idx="89">
                  <v>4</v>
                </pt>
                <pt idx="90">
                  <v>4</v>
                </pt>
                <pt idx="91">
                  <v>4</v>
                </pt>
                <pt idx="92">
                  <v>1</v>
                </pt>
                <pt idx="93">
                  <v>12</v>
                </pt>
                <pt idx="94">
                  <v>6</v>
                </pt>
                <pt idx="95">
                  <v>2</v>
                </pt>
                <pt idx="96">
                  <v>5</v>
                </pt>
                <pt idx="97">
                  <v>2</v>
                </pt>
                <pt idx="98">
                  <v>1</v>
                </pt>
                <pt idx="99">
                  <v>0</v>
                </pt>
              </numCache>
            </numRef>
          </val>
        </ser>
        <gapWidth val="150"/>
        <axId val="175116288"/>
        <axId val="175117824"/>
      </barChart>
      <catAx>
        <axId val="175116288"/>
        <scaling>
          <orientation val="minMax"/>
        </scaling>
        <axPos val="b"/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sz="1600"/>
            </a:pPr>
            <a:r>
              <a:t>None</a:t>
            </a:r>
            <a:endParaRPr lang="zh-TW"/>
          </a:p>
        </txPr>
        <crossAx val="175117824"/>
        <crosses val="autoZero"/>
        <auto val="1"/>
        <lblAlgn val="ctr"/>
        <lblOffset val="100"/>
      </catAx>
      <valAx>
        <axId val="175117824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175116288"/>
        <crosses val="autoZero"/>
        <crossBetween val="between"/>
      </valAx>
    </plotArea>
    <legend>
      <legendPos val="r"/>
      <legendEntry>
        <idx val="-1"/>
        <delete val="1"/>
      </legendEntry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None</a:t>
            </a:r>
            <a:endParaRPr lang="en-US" altLang="zh-TW"/>
          </a:p>
        </rich>
      </tx>
      <layout/>
    </title>
    <plotArea>
      <layout>
        <manualLayout>
          <layoutTarget val="inner"/>
          <xMode val="edge"/>
          <yMode val="edge"/>
          <wMode val="factor"/>
          <hMode val="factor"/>
          <x val="0.01901290267114035"/>
          <y val="0.1239313276575512"/>
          <w val="0.9487965474251175"/>
          <h val="0.7207909120042435"/>
        </manualLayout>
      </layout>
      <barChart>
        <barDir val="col"/>
        <grouping val="clustered"/>
        <ser>
          <idx val="0"/>
          <order val="0"/>
          <tx>
            <strRef>
              <f>Sheet1!$N$1</f>
              <strCache>
                <ptCount val="1"/>
                <pt idx="0">
                  <v>比值</v>
                </pt>
              </strCache>
            </strRef>
          </tx>
          <spPr>
            <a:ln>
              <a:prstDash val="solid"/>
            </a:ln>
          </spPr>
          <cat>
            <strRef>
              <f>Sheet1!$A$2:$A$101</f>
              <strCache>
                <ptCount val="100"/>
                <pt idx="0">
                  <v>DO_20260105.xlsx</v>
                </pt>
                <pt idx="1">
                  <v>DO_20260106.xlsx</v>
                </pt>
                <pt idx="2">
                  <v>DO_20260107.xlsx</v>
                </pt>
                <pt idx="3">
                  <v>DO_20260108.xlsx</v>
                </pt>
                <pt idx="4">
                  <v>DO_20260109.xlsx</v>
                </pt>
                <pt idx="5">
                  <v>DO_20260112.xlsx</v>
                </pt>
                <pt idx="6">
                  <v>DO_20260113.xlsx</v>
                </pt>
                <pt idx="7">
                  <v>DO_20260114.xlsx</v>
                </pt>
                <pt idx="8">
                  <v>DO_20260115.xlsx</v>
                </pt>
                <pt idx="9">
                  <v>DO_20260116.xlsx</v>
                </pt>
                <pt idx="10">
                  <v>DO_20260119.xlsx</v>
                </pt>
                <pt idx="11">
                  <v>DO_20260120.xlsx</v>
                </pt>
                <pt idx="12">
                  <v>DO_20260121.xlsx</v>
                </pt>
                <pt idx="13">
                  <v>DO_20260122.xlsx</v>
                </pt>
                <pt idx="14">
                  <v>DO_20260123.xlsx</v>
                </pt>
                <pt idx="15">
                  <v>DO_20260126.xlsx</v>
                </pt>
                <pt idx="16">
                  <v>DO_20260127.xlsx</v>
                </pt>
                <pt idx="17">
                  <v>DO_20260128.xlsx</v>
                </pt>
                <pt idx="18">
                  <v>DO_20260129.xlsx</v>
                </pt>
                <pt idx="19">
                  <v>DO_20260130.xlsx</v>
                </pt>
                <pt idx="20">
                  <v>DO_20260202.xlsx</v>
                </pt>
                <pt idx="21">
                  <v>DO_20260203.xlsx</v>
                </pt>
                <pt idx="22">
                  <v>DO_20260204.xlsx</v>
                </pt>
                <pt idx="23">
                  <v>DO_20260205.xlsx</v>
                </pt>
                <pt idx="24">
                  <v>DO_20260206.xlsx</v>
                </pt>
                <pt idx="25">
                  <v>DO_20260209.xlsx</v>
                </pt>
                <pt idx="26">
                  <v>DO_20260210.xlsx</v>
                </pt>
                <pt idx="27">
                  <v>DO_20260211.xlsx</v>
                </pt>
                <pt idx="28">
                  <v>DO_20260223.xlsx</v>
                </pt>
                <pt idx="29">
                  <v>DO_20260224.xlsx</v>
                </pt>
                <pt idx="30">
                  <v>DO_20260225.xlsx</v>
                </pt>
                <pt idx="31">
                  <v>DO_20260226.xlsx</v>
                </pt>
                <pt idx="32">
                  <v>DO_20260302.xlsx</v>
                </pt>
                <pt idx="33">
                  <v>DO_20260303.xlsx</v>
                </pt>
                <pt idx="34">
                  <v>DO_20260304.xlsx</v>
                </pt>
                <pt idx="35">
                  <v>DO_20260305.xlsx</v>
                </pt>
                <pt idx="36">
                  <v>DO_20260306.xlsx</v>
                </pt>
                <pt idx="37">
                  <v>DO_20260309.xlsx</v>
                </pt>
                <pt idx="38">
                  <v>DO_20260310.xlsx</v>
                </pt>
                <pt idx="39">
                  <v>DO_20260311.xlsx</v>
                </pt>
                <pt idx="40">
                  <v>DO_20260312.xlsx</v>
                </pt>
                <pt idx="41">
                  <v>DO_20260313.xlsx</v>
                </pt>
                <pt idx="42">
                  <v>DO_20260316.xlsx</v>
                </pt>
                <pt idx="43">
                  <v>DO_20260317.xlsx</v>
                </pt>
                <pt idx="44">
                  <v>DO_20260318.xlsx</v>
                </pt>
                <pt idx="45">
                  <v>DO_20260319.xlsx</v>
                </pt>
                <pt idx="46">
                  <v>DO_20260320.xlsx</v>
                </pt>
                <pt idx="47">
                  <v>DO_20260323.xlsx</v>
                </pt>
                <pt idx="48">
                  <v>DO_20260324.xlsx</v>
                </pt>
                <pt idx="49">
                  <v>DO_20260325.xlsx</v>
                </pt>
                <pt idx="50">
                  <v>DO_20260326.xlsx</v>
                </pt>
                <pt idx="51">
                  <v>DO_20260327.xlsx</v>
                </pt>
                <pt idx="52">
                  <v>DO_20260330.xlsx</v>
                </pt>
                <pt idx="53">
                  <v>DO_20260331.xlsx</v>
                </pt>
                <pt idx="54">
                  <v>DO_20260401.xlsx</v>
                </pt>
                <pt idx="55">
                  <v>DO_20260402.xlsx</v>
                </pt>
                <pt idx="56">
                  <v>DO_20260407.xlsx</v>
                </pt>
                <pt idx="57">
                  <v>DO_20260408.xlsx</v>
                </pt>
                <pt idx="58">
                  <v>DO_20260409.xlsx</v>
                </pt>
                <pt idx="59">
                  <v>DO_20260410.xlsx</v>
                </pt>
                <pt idx="60">
                  <v>DO_20260413.xlsx</v>
                </pt>
                <pt idx="61">
                  <v>DO_20260414.xlsx</v>
                </pt>
                <pt idx="62">
                  <v>DO_20260415.xlsx</v>
                </pt>
                <pt idx="63">
                  <v>DO_20260416.xlsx</v>
                </pt>
                <pt idx="64">
                  <v>DO_20260417.xlsx</v>
                </pt>
                <pt idx="65">
                  <v>DO_20260420.xlsx</v>
                </pt>
                <pt idx="66">
                  <v>DO_20260421.xlsx</v>
                </pt>
                <pt idx="67">
                  <v>DO_20260422.xlsx</v>
                </pt>
                <pt idx="68">
                  <v>DO_20260423.xlsx</v>
                </pt>
                <pt idx="69">
                  <v>DO_20260424.xlsx</v>
                </pt>
                <pt idx="70">
                  <v>DO_20260427.xlsx</v>
                </pt>
                <pt idx="71">
                  <v>DO_20260428.xlsx</v>
                </pt>
                <pt idx="72">
                  <v>DO_20260429.xlsx</v>
                </pt>
                <pt idx="73">
                  <v>DO_20260430.xlsx</v>
                </pt>
                <pt idx="74">
                  <v>DO_20260504.xlsx</v>
                </pt>
                <pt idx="75">
                  <v>DO_20260505.xlsx</v>
                </pt>
                <pt idx="76">
                  <v>DO_20260506.xlsx</v>
                </pt>
                <pt idx="77">
                  <v>DO_20260507.xlsx</v>
                </pt>
                <pt idx="78">
                  <v>DO_20260508.xlsx</v>
                </pt>
                <pt idx="79">
                  <v>DO_20260511.xlsx</v>
                </pt>
                <pt idx="80">
                  <v>DO_20260512.xlsx</v>
                </pt>
                <pt idx="81">
                  <v>DO_20260513.xlsx</v>
                </pt>
                <pt idx="82">
                  <v>DO_20260514.xlsx</v>
                </pt>
                <pt idx="83">
                  <v>DO_20260518.xlsx</v>
                </pt>
                <pt idx="84">
                  <v>DO_20260515.xlsx</v>
                </pt>
                <pt idx="85">
                  <v>DO_20260519.xlsx</v>
                </pt>
                <pt idx="86">
                  <v>DO_20260520.xlsx</v>
                </pt>
                <pt idx="87">
                  <v>DO_20260521.xlsx</v>
                </pt>
                <pt idx="88">
                  <v>DO_20260522.xlsx</v>
                </pt>
                <pt idx="89">
                  <v>DO_20260525.xlsx</v>
                </pt>
                <pt idx="90">
                  <v>DO_20260526.xlsx</v>
                </pt>
                <pt idx="91">
                  <v>DO_20260527.xlsx</v>
                </pt>
                <pt idx="92">
                  <v>DO_20260528.xlsx</v>
                </pt>
                <pt idx="93">
                  <v>DO_20260529.xlsx</v>
                </pt>
                <pt idx="94">
                  <v>DO_20260601.xlsx</v>
                </pt>
                <pt idx="95">
                  <v>DO_20260602.xlsx</v>
                </pt>
                <pt idx="96">
                  <v>DO_20260603.xlsx</v>
                </pt>
                <pt idx="97">
                  <v>DO_20260604.xlsx</v>
                </pt>
                <pt idx="98">
                  <v>DO_20260605.xlsx</v>
                </pt>
                <pt idx="99">
                  <v>DO_20260608.xlsx</v>
                </pt>
              </strCache>
            </strRef>
          </cat>
          <val>
            <numRef>
              <f>Sheet1!$N$2:$N$101</f>
              <numCache>
                <formatCode>General</formatCode>
                <ptCount val="100"/>
                <pt idx="0">
                  <v>15</v>
                </pt>
                <pt idx="1">
                  <v>14</v>
                </pt>
                <pt idx="2">
                  <v>7</v>
                </pt>
                <pt idx="3">
                  <v>0</v>
                </pt>
                <pt idx="4">
                  <v>-6</v>
                </pt>
                <pt idx="5">
                  <v>9</v>
                </pt>
                <pt idx="6">
                  <v>0</v>
                </pt>
                <pt idx="7">
                  <v>1</v>
                </pt>
                <pt idx="8">
                  <v>6</v>
                </pt>
                <pt idx="9">
                  <v>8</v>
                </pt>
                <pt idx="10">
                  <v>6</v>
                </pt>
                <pt idx="11">
                  <v>8</v>
                </pt>
                <pt idx="12">
                  <v>16</v>
                </pt>
                <pt idx="13">
                  <v>21</v>
                </pt>
                <pt idx="14">
                  <v>14</v>
                </pt>
                <pt idx="15">
                  <v>6</v>
                </pt>
                <pt idx="16">
                  <v>11</v>
                </pt>
                <pt idx="17">
                  <v>9</v>
                </pt>
                <pt idx="18">
                  <v>0</v>
                </pt>
                <pt idx="19">
                  <v>21</v>
                </pt>
                <pt idx="20">
                  <v>29</v>
                </pt>
                <pt idx="21">
                  <v>32</v>
                </pt>
                <pt idx="22">
                  <v>21</v>
                </pt>
                <pt idx="23">
                  <v>5</v>
                </pt>
                <pt idx="24">
                  <v>16</v>
                </pt>
                <pt idx="25">
                  <v>22</v>
                </pt>
                <pt idx="26">
                  <v>20</v>
                </pt>
                <pt idx="27">
                  <v>7</v>
                </pt>
                <pt idx="28">
                  <v>2</v>
                </pt>
                <pt idx="29">
                  <v>0</v>
                </pt>
                <pt idx="30">
                  <v>6</v>
                </pt>
                <pt idx="31">
                  <v>-3</v>
                </pt>
                <pt idx="32">
                  <v>-13</v>
                </pt>
                <pt idx="33">
                  <v>-11</v>
                </pt>
                <pt idx="34">
                  <v>20</v>
                </pt>
                <pt idx="35">
                  <v>34</v>
                </pt>
                <pt idx="36">
                  <v>28</v>
                </pt>
                <pt idx="37">
                  <v>35</v>
                </pt>
                <pt idx="38">
                  <v>44</v>
                </pt>
                <pt idx="39">
                  <v>21</v>
                </pt>
                <pt idx="40">
                  <v>27</v>
                </pt>
                <pt idx="41">
                  <v>26</v>
                </pt>
                <pt idx="42">
                  <v>17</v>
                </pt>
                <pt idx="43">
                  <v>21</v>
                </pt>
                <pt idx="44">
                  <v>10</v>
                </pt>
                <pt idx="45">
                  <v>7</v>
                </pt>
                <pt idx="46">
                  <v>17</v>
                </pt>
                <pt idx="47">
                  <v>37</v>
                </pt>
                <pt idx="48">
                  <v>54</v>
                </pt>
                <pt idx="49">
                  <v>23</v>
                </pt>
                <pt idx="50">
                  <v>29</v>
                </pt>
                <pt idx="51">
                  <v>29</v>
                </pt>
                <pt idx="52">
                  <v>40</v>
                </pt>
                <pt idx="53">
                  <v>46</v>
                </pt>
                <pt idx="54">
                  <v>26</v>
                </pt>
                <pt idx="55">
                  <v>31</v>
                </pt>
                <pt idx="56">
                  <v>17</v>
                </pt>
                <pt idx="57">
                  <v>4</v>
                </pt>
                <pt idx="58">
                  <v>3</v>
                </pt>
                <pt idx="59">
                  <v>-2</v>
                </pt>
                <pt idx="60">
                  <v>-8</v>
                </pt>
                <pt idx="61">
                  <v>-4</v>
                </pt>
                <pt idx="62">
                  <v>-6</v>
                </pt>
                <pt idx="63">
                  <v>1</v>
                </pt>
                <pt idx="64">
                  <v>-9</v>
                </pt>
                <pt idx="65">
                  <v>-6</v>
                </pt>
                <pt idx="66">
                  <v>-7</v>
                </pt>
                <pt idx="67">
                  <v>3</v>
                </pt>
                <pt idx="68">
                  <v>-32</v>
                </pt>
                <pt idx="69">
                  <v>3</v>
                </pt>
                <pt idx="70">
                  <v>9</v>
                </pt>
                <pt idx="71">
                  <v>7</v>
                </pt>
                <pt idx="72">
                  <v>1</v>
                </pt>
                <pt idx="73">
                  <v>13</v>
                </pt>
                <pt idx="74">
                  <v>19</v>
                </pt>
                <pt idx="75">
                  <v>14</v>
                </pt>
                <pt idx="76">
                  <v>5</v>
                </pt>
                <pt idx="77">
                  <v>2</v>
                </pt>
                <pt idx="78">
                  <v>-2</v>
                </pt>
                <pt idx="79">
                  <v>5</v>
                </pt>
                <pt idx="80">
                  <v>0</v>
                </pt>
                <pt idx="81">
                  <v>0</v>
                </pt>
                <pt idx="82">
                  <v>16</v>
                </pt>
                <pt idx="83">
                  <v>30</v>
                </pt>
                <pt idx="84">
                  <v>28</v>
                </pt>
                <pt idx="85">
                  <v>17</v>
                </pt>
                <pt idx="86">
                  <v>20</v>
                </pt>
                <pt idx="87">
                  <v>10</v>
                </pt>
                <pt idx="88">
                  <v>10</v>
                </pt>
                <pt idx="89">
                  <v>11</v>
                </pt>
                <pt idx="90">
                  <v>4</v>
                </pt>
                <pt idx="91">
                  <v>-1</v>
                </pt>
                <pt idx="92">
                  <v>-1</v>
                </pt>
                <pt idx="93">
                  <v>2</v>
                </pt>
                <pt idx="94">
                  <v>2</v>
                </pt>
                <pt idx="95">
                  <v>-1</v>
                </pt>
                <pt idx="96">
                  <v>-3</v>
                </pt>
                <pt idx="97">
                  <v>-14</v>
                </pt>
                <pt idx="98">
                  <v>-20</v>
                </pt>
                <pt idx="99">
                  <v>-15</v>
                </pt>
              </numCache>
            </numRef>
          </val>
        </ser>
        <gapWidth val="150"/>
        <axId val="175142016"/>
        <axId val="175143552"/>
      </barChart>
      <catAx>
        <axId val="175142016"/>
        <scaling>
          <orientation val="minMax"/>
        </scaling>
        <axPos val="b"/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sz="1600"/>
            </a:pPr>
            <a:r>
              <a:t>None</a:t>
            </a:r>
            <a:endParaRPr lang="zh-TW"/>
          </a:p>
        </txPr>
        <crossAx val="175143552"/>
        <crosses val="autoZero"/>
        <auto val="1"/>
        <lblAlgn val="ctr"/>
        <lblOffset val="100"/>
      </catAx>
      <valAx>
        <axId val="175143552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175142016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ser>
          <idx val="0"/>
          <order val="0"/>
          <tx>
            <v>多維持</v>
          </tx>
          <spPr>
            <a:ln>
              <a:prstDash val="solid"/>
            </a:ln>
          </spPr>
          <cat>
            <strRef>
              <f>Sheet1!$A$2:$A$101</f>
              <strCache>
                <ptCount val="100"/>
                <pt idx="0">
                  <v>DO_20260105.xlsx</v>
                </pt>
                <pt idx="1">
                  <v>DO_20260106.xlsx</v>
                </pt>
                <pt idx="2">
                  <v>DO_20260107.xlsx</v>
                </pt>
                <pt idx="3">
                  <v>DO_20260108.xlsx</v>
                </pt>
                <pt idx="4">
                  <v>DO_20260109.xlsx</v>
                </pt>
                <pt idx="5">
                  <v>DO_20260112.xlsx</v>
                </pt>
                <pt idx="6">
                  <v>DO_20260113.xlsx</v>
                </pt>
                <pt idx="7">
                  <v>DO_20260114.xlsx</v>
                </pt>
                <pt idx="8">
                  <v>DO_20260115.xlsx</v>
                </pt>
                <pt idx="9">
                  <v>DO_20260116.xlsx</v>
                </pt>
                <pt idx="10">
                  <v>DO_20260119.xlsx</v>
                </pt>
                <pt idx="11">
                  <v>DO_20260120.xlsx</v>
                </pt>
                <pt idx="12">
                  <v>DO_20260121.xlsx</v>
                </pt>
                <pt idx="13">
                  <v>DO_20260122.xlsx</v>
                </pt>
                <pt idx="14">
                  <v>DO_20260123.xlsx</v>
                </pt>
                <pt idx="15">
                  <v>DO_20260126.xlsx</v>
                </pt>
                <pt idx="16">
                  <v>DO_20260127.xlsx</v>
                </pt>
                <pt idx="17">
                  <v>DO_20260128.xlsx</v>
                </pt>
                <pt idx="18">
                  <v>DO_20260129.xlsx</v>
                </pt>
                <pt idx="19">
                  <v>DO_20260130.xlsx</v>
                </pt>
                <pt idx="20">
                  <v>DO_20260202.xlsx</v>
                </pt>
                <pt idx="21">
                  <v>DO_20260203.xlsx</v>
                </pt>
                <pt idx="22">
                  <v>DO_20260204.xlsx</v>
                </pt>
                <pt idx="23">
                  <v>DO_20260205.xlsx</v>
                </pt>
                <pt idx="24">
                  <v>DO_20260206.xlsx</v>
                </pt>
                <pt idx="25">
                  <v>DO_20260209.xlsx</v>
                </pt>
                <pt idx="26">
                  <v>DO_20260210.xlsx</v>
                </pt>
                <pt idx="27">
                  <v>DO_20260211.xlsx</v>
                </pt>
                <pt idx="28">
                  <v>DO_20260223.xlsx</v>
                </pt>
                <pt idx="29">
                  <v>DO_20260224.xlsx</v>
                </pt>
                <pt idx="30">
                  <v>DO_20260225.xlsx</v>
                </pt>
                <pt idx="31">
                  <v>DO_20260226.xlsx</v>
                </pt>
                <pt idx="32">
                  <v>DO_20260302.xlsx</v>
                </pt>
                <pt idx="33">
                  <v>DO_20260303.xlsx</v>
                </pt>
                <pt idx="34">
                  <v>DO_20260304.xlsx</v>
                </pt>
                <pt idx="35">
                  <v>DO_20260305.xlsx</v>
                </pt>
                <pt idx="36">
                  <v>DO_20260306.xlsx</v>
                </pt>
                <pt idx="37">
                  <v>DO_20260309.xlsx</v>
                </pt>
                <pt idx="38">
                  <v>DO_20260310.xlsx</v>
                </pt>
                <pt idx="39">
                  <v>DO_20260311.xlsx</v>
                </pt>
                <pt idx="40">
                  <v>DO_20260312.xlsx</v>
                </pt>
                <pt idx="41">
                  <v>DO_20260313.xlsx</v>
                </pt>
                <pt idx="42">
                  <v>DO_20260316.xlsx</v>
                </pt>
                <pt idx="43">
                  <v>DO_20260317.xlsx</v>
                </pt>
                <pt idx="44">
                  <v>DO_20260318.xlsx</v>
                </pt>
                <pt idx="45">
                  <v>DO_20260319.xlsx</v>
                </pt>
                <pt idx="46">
                  <v>DO_20260320.xlsx</v>
                </pt>
                <pt idx="47">
                  <v>DO_20260323.xlsx</v>
                </pt>
                <pt idx="48">
                  <v>DO_20260324.xlsx</v>
                </pt>
                <pt idx="49">
                  <v>DO_20260325.xlsx</v>
                </pt>
                <pt idx="50">
                  <v>DO_20260326.xlsx</v>
                </pt>
                <pt idx="51">
                  <v>DO_20260327.xlsx</v>
                </pt>
                <pt idx="52">
                  <v>DO_20260330.xlsx</v>
                </pt>
                <pt idx="53">
                  <v>DO_20260331.xlsx</v>
                </pt>
                <pt idx="54">
                  <v>DO_20260401.xlsx</v>
                </pt>
                <pt idx="55">
                  <v>DO_20260402.xlsx</v>
                </pt>
                <pt idx="56">
                  <v>DO_20260407.xlsx</v>
                </pt>
                <pt idx="57">
                  <v>DO_20260408.xlsx</v>
                </pt>
                <pt idx="58">
                  <v>DO_20260409.xlsx</v>
                </pt>
                <pt idx="59">
                  <v>DO_20260410.xlsx</v>
                </pt>
                <pt idx="60">
                  <v>DO_20260413.xlsx</v>
                </pt>
                <pt idx="61">
                  <v>DO_20260414.xlsx</v>
                </pt>
                <pt idx="62">
                  <v>DO_20260415.xlsx</v>
                </pt>
                <pt idx="63">
                  <v>DO_20260416.xlsx</v>
                </pt>
                <pt idx="64">
                  <v>DO_20260417.xlsx</v>
                </pt>
                <pt idx="65">
                  <v>DO_20260420.xlsx</v>
                </pt>
                <pt idx="66">
                  <v>DO_20260421.xlsx</v>
                </pt>
                <pt idx="67">
                  <v>DO_20260422.xlsx</v>
                </pt>
                <pt idx="68">
                  <v>DO_20260423.xlsx</v>
                </pt>
                <pt idx="69">
                  <v>DO_20260424.xlsx</v>
                </pt>
                <pt idx="70">
                  <v>DO_20260427.xlsx</v>
                </pt>
                <pt idx="71">
                  <v>DO_20260428.xlsx</v>
                </pt>
                <pt idx="72">
                  <v>DO_20260429.xlsx</v>
                </pt>
                <pt idx="73">
                  <v>DO_20260430.xlsx</v>
                </pt>
                <pt idx="74">
                  <v>DO_20260504.xlsx</v>
                </pt>
                <pt idx="75">
                  <v>DO_20260505.xlsx</v>
                </pt>
                <pt idx="76">
                  <v>DO_20260506.xlsx</v>
                </pt>
                <pt idx="77">
                  <v>DO_20260507.xlsx</v>
                </pt>
                <pt idx="78">
                  <v>DO_20260508.xlsx</v>
                </pt>
                <pt idx="79">
                  <v>DO_20260511.xlsx</v>
                </pt>
                <pt idx="80">
                  <v>DO_20260512.xlsx</v>
                </pt>
                <pt idx="81">
                  <v>DO_20260513.xlsx</v>
                </pt>
                <pt idx="82">
                  <v>DO_20260514.xlsx</v>
                </pt>
                <pt idx="83">
                  <v>DO_20260518.xlsx</v>
                </pt>
                <pt idx="84">
                  <v>DO_20260515.xlsx</v>
                </pt>
                <pt idx="85">
                  <v>DO_20260519.xlsx</v>
                </pt>
                <pt idx="86">
                  <v>DO_20260520.xlsx</v>
                </pt>
                <pt idx="87">
                  <v>DO_20260521.xlsx</v>
                </pt>
                <pt idx="88">
                  <v>DO_20260522.xlsx</v>
                </pt>
                <pt idx="89">
                  <v>DO_20260525.xlsx</v>
                </pt>
                <pt idx="90">
                  <v>DO_20260526.xlsx</v>
                </pt>
                <pt idx="91">
                  <v>DO_20260527.xlsx</v>
                </pt>
                <pt idx="92">
                  <v>DO_20260528.xlsx</v>
                </pt>
                <pt idx="93">
                  <v>DO_20260529.xlsx</v>
                </pt>
                <pt idx="94">
                  <v>DO_20260601.xlsx</v>
                </pt>
                <pt idx="95">
                  <v>DO_20260602.xlsx</v>
                </pt>
                <pt idx="96">
                  <v>DO_20260603.xlsx</v>
                </pt>
                <pt idx="97">
                  <v>DO_20260604.xlsx</v>
                </pt>
                <pt idx="98">
                  <v>DO_20260605.xlsx</v>
                </pt>
                <pt idx="99">
                  <v>DO_20260608.xlsx</v>
                </pt>
              </strCache>
            </strRef>
          </cat>
          <val>
            <numRef>
              <f>Sheet1!$B$2:$B$101</f>
              <numCache>
                <formatCode>General</formatCode>
                <ptCount val="100"/>
                <pt idx="0">
                  <v>22</v>
                </pt>
                <pt idx="1">
                  <v>25</v>
                </pt>
                <pt idx="2">
                  <v>30</v>
                </pt>
                <pt idx="3">
                  <v>20</v>
                </pt>
                <pt idx="4">
                  <v>15</v>
                </pt>
                <pt idx="5">
                  <v>16</v>
                </pt>
                <pt idx="6">
                  <v>22</v>
                </pt>
                <pt idx="7">
                  <v>52</v>
                </pt>
                <pt idx="8">
                  <v>36</v>
                </pt>
                <pt idx="9">
                  <v>42</v>
                </pt>
                <pt idx="10">
                  <v>38</v>
                </pt>
                <pt idx="11">
                  <v>38</v>
                </pt>
                <pt idx="12">
                  <v>24</v>
                </pt>
                <pt idx="13">
                  <v>18</v>
                </pt>
                <pt idx="14">
                  <v>17</v>
                </pt>
                <pt idx="15">
                  <v>19</v>
                </pt>
                <pt idx="16">
                  <v>20</v>
                </pt>
                <pt idx="17">
                  <v>26</v>
                </pt>
                <pt idx="18">
                  <v>19</v>
                </pt>
                <pt idx="19">
                  <v>15</v>
                </pt>
                <pt idx="20">
                  <v>9</v>
                </pt>
                <pt idx="21">
                  <v>11</v>
                </pt>
                <pt idx="22">
                  <v>18</v>
                </pt>
                <pt idx="23">
                  <v>10</v>
                </pt>
                <pt idx="24">
                  <v>4</v>
                </pt>
                <pt idx="25">
                  <v>2</v>
                </pt>
                <pt idx="26">
                  <v>11</v>
                </pt>
                <pt idx="27">
                  <v>18</v>
                </pt>
                <pt idx="28">
                  <v>21</v>
                </pt>
                <pt idx="29">
                  <v>26</v>
                </pt>
                <pt idx="30">
                  <v>39</v>
                </pt>
                <pt idx="31">
                  <v>47</v>
                </pt>
                <pt idx="32">
                  <v>38</v>
                </pt>
                <pt idx="33">
                  <v>18</v>
                </pt>
                <pt idx="34">
                  <v>6</v>
                </pt>
                <pt idx="35">
                  <v>4</v>
                </pt>
                <pt idx="36">
                  <v>10</v>
                </pt>
                <pt idx="37">
                  <v>6</v>
                </pt>
                <pt idx="38">
                  <v>4</v>
                </pt>
                <pt idx="39">
                  <v>5</v>
                </pt>
                <pt idx="40">
                  <v>13</v>
                </pt>
                <pt idx="41">
                  <v>14</v>
                </pt>
                <pt idx="42">
                  <v>9</v>
                </pt>
                <pt idx="43">
                  <v>11</v>
                </pt>
                <pt idx="44">
                  <v>18</v>
                </pt>
                <pt idx="45">
                  <v>18</v>
                </pt>
                <pt idx="46">
                  <v>14</v>
                </pt>
                <pt idx="47">
                  <v>6</v>
                </pt>
                <pt idx="48">
                  <v>1</v>
                </pt>
                <pt idx="49">
                  <v>3</v>
                </pt>
                <pt idx="50">
                  <v>9</v>
                </pt>
                <pt idx="51">
                  <v>12</v>
                </pt>
                <pt idx="52">
                  <v>9</v>
                </pt>
                <pt idx="53">
                  <v>3</v>
                </pt>
                <pt idx="54">
                  <v>2</v>
                </pt>
                <pt idx="55">
                  <v>9</v>
                </pt>
                <pt idx="56">
                  <v>9</v>
                </pt>
                <pt idx="57">
                  <v>16</v>
                </pt>
                <pt idx="58">
                  <v>23</v>
                </pt>
                <pt idx="59">
                  <v>38</v>
                </pt>
                <pt idx="60">
                  <v>31</v>
                </pt>
                <pt idx="61">
                  <v>30</v>
                </pt>
                <pt idx="62">
                  <v>35</v>
                </pt>
                <pt idx="63">
                  <v>47</v>
                </pt>
                <pt idx="64">
                  <v>61</v>
                </pt>
                <pt idx="65">
                  <v>63</v>
                </pt>
                <pt idx="66">
                  <v>57</v>
                </pt>
                <pt idx="67">
                  <v>60</v>
                </pt>
                <pt idx="68">
                  <v>22</v>
                </pt>
                <pt idx="69">
                  <v>13</v>
                </pt>
                <pt idx="70">
                  <v>11</v>
                </pt>
                <pt idx="71">
                  <v>11</v>
                </pt>
                <pt idx="72">
                  <v>9</v>
                </pt>
                <pt idx="73">
                  <v>7</v>
                </pt>
                <pt idx="74">
                  <v>11</v>
                </pt>
                <pt idx="75">
                  <v>22</v>
                </pt>
                <pt idx="76">
                  <v>29</v>
                </pt>
                <pt idx="77">
                  <v>36</v>
                </pt>
                <pt idx="78">
                  <v>37</v>
                </pt>
                <pt idx="79">
                  <v>38</v>
                </pt>
                <pt idx="80">
                  <v>38</v>
                </pt>
                <pt idx="81">
                  <v>22</v>
                </pt>
                <pt idx="82">
                  <v>19</v>
                </pt>
                <pt idx="83">
                  <v>6</v>
                </pt>
                <pt idx="84">
                  <v>6</v>
                </pt>
                <pt idx="85">
                  <v>4</v>
                </pt>
                <pt idx="86">
                  <v>0</v>
                </pt>
                <pt idx="87">
                  <v>6</v>
                </pt>
                <pt idx="88">
                  <v>14</v>
                </pt>
                <pt idx="89">
                  <v>23</v>
                </pt>
                <pt idx="90">
                  <v>33</v>
                </pt>
                <pt idx="91">
                  <v>33</v>
                </pt>
                <pt idx="92">
                  <v>18</v>
                </pt>
                <pt idx="93">
                  <v>19</v>
                </pt>
                <pt idx="94">
                  <v>30</v>
                </pt>
                <pt idx="95">
                  <v>41</v>
                </pt>
                <pt idx="96">
                  <v>50</v>
                </pt>
                <pt idx="97">
                  <v>42</v>
                </pt>
                <pt idx="98">
                  <v>27</v>
                </pt>
                <pt idx="99">
                  <v>9</v>
                </pt>
              </numCache>
            </numRef>
          </val>
        </ser>
        <ser>
          <idx val="1"/>
          <order val="1"/>
          <tx>
            <v>多新進</v>
          </tx>
          <spPr>
            <a:ln>
              <a:prstDash val="solid"/>
            </a:ln>
          </spPr>
          <cat>
            <strRef>
              <f>Sheet1!$A$2:$A$101</f>
              <strCache>
                <ptCount val="100"/>
                <pt idx="0">
                  <v>DO_20260105.xlsx</v>
                </pt>
                <pt idx="1">
                  <v>DO_20260106.xlsx</v>
                </pt>
                <pt idx="2">
                  <v>DO_20260107.xlsx</v>
                </pt>
                <pt idx="3">
                  <v>DO_20260108.xlsx</v>
                </pt>
                <pt idx="4">
                  <v>DO_20260109.xlsx</v>
                </pt>
                <pt idx="5">
                  <v>DO_20260112.xlsx</v>
                </pt>
                <pt idx="6">
                  <v>DO_20260113.xlsx</v>
                </pt>
                <pt idx="7">
                  <v>DO_20260114.xlsx</v>
                </pt>
                <pt idx="8">
                  <v>DO_20260115.xlsx</v>
                </pt>
                <pt idx="9">
                  <v>DO_20260116.xlsx</v>
                </pt>
                <pt idx="10">
                  <v>DO_20260119.xlsx</v>
                </pt>
                <pt idx="11">
                  <v>DO_20260120.xlsx</v>
                </pt>
                <pt idx="12">
                  <v>DO_20260121.xlsx</v>
                </pt>
                <pt idx="13">
                  <v>DO_20260122.xlsx</v>
                </pt>
                <pt idx="14">
                  <v>DO_20260123.xlsx</v>
                </pt>
                <pt idx="15">
                  <v>DO_20260126.xlsx</v>
                </pt>
                <pt idx="16">
                  <v>DO_20260127.xlsx</v>
                </pt>
                <pt idx="17">
                  <v>DO_20260128.xlsx</v>
                </pt>
                <pt idx="18">
                  <v>DO_20260129.xlsx</v>
                </pt>
                <pt idx="19">
                  <v>DO_20260130.xlsx</v>
                </pt>
                <pt idx="20">
                  <v>DO_20260202.xlsx</v>
                </pt>
                <pt idx="21">
                  <v>DO_20260203.xlsx</v>
                </pt>
                <pt idx="22">
                  <v>DO_20260204.xlsx</v>
                </pt>
                <pt idx="23">
                  <v>DO_20260205.xlsx</v>
                </pt>
                <pt idx="24">
                  <v>DO_20260206.xlsx</v>
                </pt>
                <pt idx="25">
                  <v>DO_20260209.xlsx</v>
                </pt>
                <pt idx="26">
                  <v>DO_20260210.xlsx</v>
                </pt>
                <pt idx="27">
                  <v>DO_20260211.xlsx</v>
                </pt>
                <pt idx="28">
                  <v>DO_20260223.xlsx</v>
                </pt>
                <pt idx="29">
                  <v>DO_20260224.xlsx</v>
                </pt>
                <pt idx="30">
                  <v>DO_20260225.xlsx</v>
                </pt>
                <pt idx="31">
                  <v>DO_20260226.xlsx</v>
                </pt>
                <pt idx="32">
                  <v>DO_20260302.xlsx</v>
                </pt>
                <pt idx="33">
                  <v>DO_20260303.xlsx</v>
                </pt>
                <pt idx="34">
                  <v>DO_20260304.xlsx</v>
                </pt>
                <pt idx="35">
                  <v>DO_20260305.xlsx</v>
                </pt>
                <pt idx="36">
                  <v>DO_20260306.xlsx</v>
                </pt>
                <pt idx="37">
                  <v>DO_20260309.xlsx</v>
                </pt>
                <pt idx="38">
                  <v>DO_20260310.xlsx</v>
                </pt>
                <pt idx="39">
                  <v>DO_20260311.xlsx</v>
                </pt>
                <pt idx="40">
                  <v>DO_20260312.xlsx</v>
                </pt>
                <pt idx="41">
                  <v>DO_20260313.xlsx</v>
                </pt>
                <pt idx="42">
                  <v>DO_20260316.xlsx</v>
                </pt>
                <pt idx="43">
                  <v>DO_20260317.xlsx</v>
                </pt>
                <pt idx="44">
                  <v>DO_20260318.xlsx</v>
                </pt>
                <pt idx="45">
                  <v>DO_20260319.xlsx</v>
                </pt>
                <pt idx="46">
                  <v>DO_20260320.xlsx</v>
                </pt>
                <pt idx="47">
                  <v>DO_20260323.xlsx</v>
                </pt>
                <pt idx="48">
                  <v>DO_20260324.xlsx</v>
                </pt>
                <pt idx="49">
                  <v>DO_20260325.xlsx</v>
                </pt>
                <pt idx="50">
                  <v>DO_20260326.xlsx</v>
                </pt>
                <pt idx="51">
                  <v>DO_20260327.xlsx</v>
                </pt>
                <pt idx="52">
                  <v>DO_20260330.xlsx</v>
                </pt>
                <pt idx="53">
                  <v>DO_20260331.xlsx</v>
                </pt>
                <pt idx="54">
                  <v>DO_20260401.xlsx</v>
                </pt>
                <pt idx="55">
                  <v>DO_20260402.xlsx</v>
                </pt>
                <pt idx="56">
                  <v>DO_20260407.xlsx</v>
                </pt>
                <pt idx="57">
                  <v>DO_20260408.xlsx</v>
                </pt>
                <pt idx="58">
                  <v>DO_20260409.xlsx</v>
                </pt>
                <pt idx="59">
                  <v>DO_20260410.xlsx</v>
                </pt>
                <pt idx="60">
                  <v>DO_20260413.xlsx</v>
                </pt>
                <pt idx="61">
                  <v>DO_20260414.xlsx</v>
                </pt>
                <pt idx="62">
                  <v>DO_20260415.xlsx</v>
                </pt>
                <pt idx="63">
                  <v>DO_20260416.xlsx</v>
                </pt>
                <pt idx="64">
                  <v>DO_20260417.xlsx</v>
                </pt>
                <pt idx="65">
                  <v>DO_20260420.xlsx</v>
                </pt>
                <pt idx="66">
                  <v>DO_20260421.xlsx</v>
                </pt>
                <pt idx="67">
                  <v>DO_20260422.xlsx</v>
                </pt>
                <pt idx="68">
                  <v>DO_20260423.xlsx</v>
                </pt>
                <pt idx="69">
                  <v>DO_20260424.xlsx</v>
                </pt>
                <pt idx="70">
                  <v>DO_20260427.xlsx</v>
                </pt>
                <pt idx="71">
                  <v>DO_20260428.xlsx</v>
                </pt>
                <pt idx="72">
                  <v>DO_20260429.xlsx</v>
                </pt>
                <pt idx="73">
                  <v>DO_20260430.xlsx</v>
                </pt>
                <pt idx="74">
                  <v>DO_20260504.xlsx</v>
                </pt>
                <pt idx="75">
                  <v>DO_20260505.xlsx</v>
                </pt>
                <pt idx="76">
                  <v>DO_20260506.xlsx</v>
                </pt>
                <pt idx="77">
                  <v>DO_20260507.xlsx</v>
                </pt>
                <pt idx="78">
                  <v>DO_20260508.xlsx</v>
                </pt>
                <pt idx="79">
                  <v>DO_20260511.xlsx</v>
                </pt>
                <pt idx="80">
                  <v>DO_20260512.xlsx</v>
                </pt>
                <pt idx="81">
                  <v>DO_20260513.xlsx</v>
                </pt>
                <pt idx="82">
                  <v>DO_20260514.xlsx</v>
                </pt>
                <pt idx="83">
                  <v>DO_20260518.xlsx</v>
                </pt>
                <pt idx="84">
                  <v>DO_20260515.xlsx</v>
                </pt>
                <pt idx="85">
                  <v>DO_20260519.xlsx</v>
                </pt>
                <pt idx="86">
                  <v>DO_20260520.xlsx</v>
                </pt>
                <pt idx="87">
                  <v>DO_20260521.xlsx</v>
                </pt>
                <pt idx="88">
                  <v>DO_20260522.xlsx</v>
                </pt>
                <pt idx="89">
                  <v>DO_20260525.xlsx</v>
                </pt>
                <pt idx="90">
                  <v>DO_20260526.xlsx</v>
                </pt>
                <pt idx="91">
                  <v>DO_20260527.xlsx</v>
                </pt>
                <pt idx="92">
                  <v>DO_20260528.xlsx</v>
                </pt>
                <pt idx="93">
                  <v>DO_20260529.xlsx</v>
                </pt>
                <pt idx="94">
                  <v>DO_20260601.xlsx</v>
                </pt>
                <pt idx="95">
                  <v>DO_20260602.xlsx</v>
                </pt>
                <pt idx="96">
                  <v>DO_20260603.xlsx</v>
                </pt>
                <pt idx="97">
                  <v>DO_20260604.xlsx</v>
                </pt>
                <pt idx="98">
                  <v>DO_20260605.xlsx</v>
                </pt>
                <pt idx="99">
                  <v>DO_20260608.xlsx</v>
                </pt>
              </strCache>
            </strRef>
          </cat>
          <val>
            <numRef>
              <f>Sheet1!$C$2:$C$101</f>
              <numCache>
                <formatCode>General</formatCode>
                <ptCount val="100"/>
                <pt idx="0">
                  <v>6</v>
                </pt>
                <pt idx="1">
                  <v>9</v>
                </pt>
                <pt idx="2">
                  <v>4</v>
                </pt>
                <pt idx="3">
                  <v>9</v>
                </pt>
                <pt idx="4">
                  <v>5</v>
                </pt>
                <pt idx="5">
                  <v>21</v>
                </pt>
                <pt idx="6">
                  <v>13</v>
                </pt>
                <pt idx="7">
                  <v>26</v>
                </pt>
                <pt idx="8">
                  <v>16</v>
                </pt>
                <pt idx="9">
                  <v>11</v>
                </pt>
                <pt idx="10">
                  <v>14</v>
                </pt>
                <pt idx="11">
                  <v>6</v>
                </pt>
                <pt idx="12">
                  <v>2</v>
                </pt>
                <pt idx="13">
                  <v>9</v>
                </pt>
                <pt idx="14">
                  <v>13</v>
                </pt>
                <pt idx="15">
                  <v>9</v>
                </pt>
                <pt idx="16">
                  <v>13</v>
                </pt>
                <pt idx="17">
                  <v>13</v>
                </pt>
                <pt idx="18">
                  <v>8</v>
                </pt>
                <pt idx="19">
                  <v>6</v>
                </pt>
                <pt idx="20">
                  <v>3</v>
                </pt>
                <pt idx="21">
                  <v>7</v>
                </pt>
                <pt idx="22">
                  <v>5</v>
                </pt>
                <pt idx="23">
                  <v>2</v>
                </pt>
                <pt idx="24">
                  <v>2</v>
                </pt>
                <pt idx="25">
                  <v>11</v>
                </pt>
                <pt idx="26">
                  <v>11</v>
                </pt>
                <pt idx="27">
                  <v>9</v>
                </pt>
                <pt idx="28">
                  <v>11</v>
                </pt>
                <pt idx="29">
                  <v>15</v>
                </pt>
                <pt idx="30">
                  <v>19</v>
                </pt>
                <pt idx="31">
                  <v>14</v>
                </pt>
                <pt idx="32">
                  <v>9</v>
                </pt>
                <pt idx="33">
                  <v>4</v>
                </pt>
                <pt idx="34">
                  <v>1</v>
                </pt>
                <pt idx="35">
                  <v>7</v>
                </pt>
                <pt idx="36">
                  <v>3</v>
                </pt>
                <pt idx="37">
                  <v>1</v>
                </pt>
                <pt idx="38">
                  <v>1</v>
                </pt>
                <pt idx="39">
                  <v>9</v>
                </pt>
                <pt idx="40">
                  <v>6</v>
                </pt>
                <pt idx="41">
                  <v>3</v>
                </pt>
                <pt idx="42">
                  <v>2</v>
                </pt>
                <pt idx="43">
                  <v>10</v>
                </pt>
                <pt idx="44">
                  <v>13</v>
                </pt>
                <pt idx="45">
                  <v>5</v>
                </pt>
                <pt idx="46">
                  <v>6</v>
                </pt>
                <pt idx="47">
                  <v>0</v>
                </pt>
                <pt idx="48">
                  <v>3</v>
                </pt>
                <pt idx="49">
                  <v>11</v>
                </pt>
                <pt idx="50">
                  <v>5</v>
                </pt>
                <pt idx="51">
                  <v>7</v>
                </pt>
                <pt idx="52">
                  <v>5</v>
                </pt>
                <pt idx="53">
                  <v>0</v>
                </pt>
                <pt idx="54">
                  <v>8</v>
                </pt>
                <pt idx="55">
                  <v>4</v>
                </pt>
                <pt idx="56">
                  <v>7</v>
                </pt>
                <pt idx="57">
                  <v>11</v>
                </pt>
                <pt idx="58">
                  <v>19</v>
                </pt>
                <pt idx="59">
                  <v>5</v>
                </pt>
                <pt idx="60">
                  <v>8</v>
                </pt>
                <pt idx="61">
                  <v>14</v>
                </pt>
                <pt idx="62">
                  <v>13</v>
                </pt>
                <pt idx="63">
                  <v>28</v>
                </pt>
                <pt idx="64">
                  <v>16</v>
                </pt>
                <pt idx="65">
                  <v>7</v>
                </pt>
                <pt idx="66">
                  <v>10</v>
                </pt>
                <pt idx="67">
                  <v>7</v>
                </pt>
                <pt idx="68">
                  <v>3</v>
                </pt>
                <pt idx="69">
                  <v>8</v>
                </pt>
                <pt idx="70">
                  <v>7</v>
                </pt>
                <pt idx="71">
                  <v>4</v>
                </pt>
                <pt idx="72">
                  <v>5</v>
                </pt>
                <pt idx="73">
                  <v>6</v>
                </pt>
                <pt idx="74">
                  <v>16</v>
                </pt>
                <pt idx="75">
                  <v>13</v>
                </pt>
                <pt idx="76">
                  <v>11</v>
                </pt>
                <pt idx="77">
                  <v>11</v>
                </pt>
                <pt idx="78">
                  <v>7</v>
                </pt>
                <pt idx="79">
                  <v>19</v>
                </pt>
                <pt idx="80">
                  <v>5</v>
                </pt>
                <pt idx="81">
                  <v>6</v>
                </pt>
                <pt idx="82">
                  <v>9</v>
                </pt>
                <pt idx="83">
                  <v>5</v>
                </pt>
                <pt idx="84">
                  <v>8</v>
                </pt>
                <pt idx="85">
                  <v>8</v>
                </pt>
                <pt idx="86">
                  <v>6</v>
                </pt>
                <pt idx="87">
                  <v>11</v>
                </pt>
                <pt idx="88">
                  <v>10</v>
                </pt>
                <pt idx="89">
                  <v>18</v>
                </pt>
                <pt idx="90">
                  <v>12</v>
                </pt>
                <pt idx="91">
                  <v>4</v>
                </pt>
                <pt idx="92">
                  <v>7</v>
                </pt>
                <pt idx="93">
                  <v>15</v>
                </pt>
                <pt idx="94">
                  <v>21</v>
                </pt>
                <pt idx="95">
                  <v>16</v>
                </pt>
                <pt idx="96">
                  <v>13</v>
                </pt>
                <pt idx="97">
                  <v>12</v>
                </pt>
                <pt idx="98">
                  <v>6</v>
                </pt>
                <pt idx="99">
                  <v>0</v>
                </pt>
              </numCache>
            </numRef>
          </val>
        </ser>
        <ser>
          <idx val="2"/>
          <order val="2"/>
          <tx>
            <v>空維持</v>
          </tx>
          <spPr>
            <a:ln>
              <a:prstDash val="solid"/>
            </a:ln>
          </spPr>
          <cat>
            <strRef>
              <f>Sheet1!$A$2:$A$101</f>
              <strCache>
                <ptCount val="100"/>
                <pt idx="0">
                  <v>DO_20260105.xlsx</v>
                </pt>
                <pt idx="1">
                  <v>DO_20260106.xlsx</v>
                </pt>
                <pt idx="2">
                  <v>DO_20260107.xlsx</v>
                </pt>
                <pt idx="3">
                  <v>DO_20260108.xlsx</v>
                </pt>
                <pt idx="4">
                  <v>DO_20260109.xlsx</v>
                </pt>
                <pt idx="5">
                  <v>DO_20260112.xlsx</v>
                </pt>
                <pt idx="6">
                  <v>DO_20260113.xlsx</v>
                </pt>
                <pt idx="7">
                  <v>DO_20260114.xlsx</v>
                </pt>
                <pt idx="8">
                  <v>DO_20260115.xlsx</v>
                </pt>
                <pt idx="9">
                  <v>DO_20260116.xlsx</v>
                </pt>
                <pt idx="10">
                  <v>DO_20260119.xlsx</v>
                </pt>
                <pt idx="11">
                  <v>DO_20260120.xlsx</v>
                </pt>
                <pt idx="12">
                  <v>DO_20260121.xlsx</v>
                </pt>
                <pt idx="13">
                  <v>DO_20260122.xlsx</v>
                </pt>
                <pt idx="14">
                  <v>DO_20260123.xlsx</v>
                </pt>
                <pt idx="15">
                  <v>DO_20260126.xlsx</v>
                </pt>
                <pt idx="16">
                  <v>DO_20260127.xlsx</v>
                </pt>
                <pt idx="17">
                  <v>DO_20260128.xlsx</v>
                </pt>
                <pt idx="18">
                  <v>DO_20260129.xlsx</v>
                </pt>
                <pt idx="19">
                  <v>DO_20260130.xlsx</v>
                </pt>
                <pt idx="20">
                  <v>DO_20260202.xlsx</v>
                </pt>
                <pt idx="21">
                  <v>DO_20260203.xlsx</v>
                </pt>
                <pt idx="22">
                  <v>DO_20260204.xlsx</v>
                </pt>
                <pt idx="23">
                  <v>DO_20260205.xlsx</v>
                </pt>
                <pt idx="24">
                  <v>DO_20260206.xlsx</v>
                </pt>
                <pt idx="25">
                  <v>DO_20260209.xlsx</v>
                </pt>
                <pt idx="26">
                  <v>DO_20260210.xlsx</v>
                </pt>
                <pt idx="27">
                  <v>DO_20260211.xlsx</v>
                </pt>
                <pt idx="28">
                  <v>DO_20260223.xlsx</v>
                </pt>
                <pt idx="29">
                  <v>DO_20260224.xlsx</v>
                </pt>
                <pt idx="30">
                  <v>DO_20260225.xlsx</v>
                </pt>
                <pt idx="31">
                  <v>DO_20260226.xlsx</v>
                </pt>
                <pt idx="32">
                  <v>DO_20260302.xlsx</v>
                </pt>
                <pt idx="33">
                  <v>DO_20260303.xlsx</v>
                </pt>
                <pt idx="34">
                  <v>DO_20260304.xlsx</v>
                </pt>
                <pt idx="35">
                  <v>DO_20260305.xlsx</v>
                </pt>
                <pt idx="36">
                  <v>DO_20260306.xlsx</v>
                </pt>
                <pt idx="37">
                  <v>DO_20260309.xlsx</v>
                </pt>
                <pt idx="38">
                  <v>DO_20260310.xlsx</v>
                </pt>
                <pt idx="39">
                  <v>DO_20260311.xlsx</v>
                </pt>
                <pt idx="40">
                  <v>DO_20260312.xlsx</v>
                </pt>
                <pt idx="41">
                  <v>DO_20260313.xlsx</v>
                </pt>
                <pt idx="42">
                  <v>DO_20260316.xlsx</v>
                </pt>
                <pt idx="43">
                  <v>DO_20260317.xlsx</v>
                </pt>
                <pt idx="44">
                  <v>DO_20260318.xlsx</v>
                </pt>
                <pt idx="45">
                  <v>DO_20260319.xlsx</v>
                </pt>
                <pt idx="46">
                  <v>DO_20260320.xlsx</v>
                </pt>
                <pt idx="47">
                  <v>DO_20260323.xlsx</v>
                </pt>
                <pt idx="48">
                  <v>DO_20260324.xlsx</v>
                </pt>
                <pt idx="49">
                  <v>DO_20260325.xlsx</v>
                </pt>
                <pt idx="50">
                  <v>DO_20260326.xlsx</v>
                </pt>
                <pt idx="51">
                  <v>DO_20260327.xlsx</v>
                </pt>
                <pt idx="52">
                  <v>DO_20260330.xlsx</v>
                </pt>
                <pt idx="53">
                  <v>DO_20260331.xlsx</v>
                </pt>
                <pt idx="54">
                  <v>DO_20260401.xlsx</v>
                </pt>
                <pt idx="55">
                  <v>DO_20260402.xlsx</v>
                </pt>
                <pt idx="56">
                  <v>DO_20260407.xlsx</v>
                </pt>
                <pt idx="57">
                  <v>DO_20260408.xlsx</v>
                </pt>
                <pt idx="58">
                  <v>DO_20260409.xlsx</v>
                </pt>
                <pt idx="59">
                  <v>DO_20260410.xlsx</v>
                </pt>
                <pt idx="60">
                  <v>DO_20260413.xlsx</v>
                </pt>
                <pt idx="61">
                  <v>DO_20260414.xlsx</v>
                </pt>
                <pt idx="62">
                  <v>DO_20260415.xlsx</v>
                </pt>
                <pt idx="63">
                  <v>DO_20260416.xlsx</v>
                </pt>
                <pt idx="64">
                  <v>DO_20260417.xlsx</v>
                </pt>
                <pt idx="65">
                  <v>DO_20260420.xlsx</v>
                </pt>
                <pt idx="66">
                  <v>DO_20260421.xlsx</v>
                </pt>
                <pt idx="67">
                  <v>DO_20260422.xlsx</v>
                </pt>
                <pt idx="68">
                  <v>DO_20260423.xlsx</v>
                </pt>
                <pt idx="69">
                  <v>DO_20260424.xlsx</v>
                </pt>
                <pt idx="70">
                  <v>DO_20260427.xlsx</v>
                </pt>
                <pt idx="71">
                  <v>DO_20260428.xlsx</v>
                </pt>
                <pt idx="72">
                  <v>DO_20260429.xlsx</v>
                </pt>
                <pt idx="73">
                  <v>DO_20260430.xlsx</v>
                </pt>
                <pt idx="74">
                  <v>DO_20260504.xlsx</v>
                </pt>
                <pt idx="75">
                  <v>DO_20260505.xlsx</v>
                </pt>
                <pt idx="76">
                  <v>DO_20260506.xlsx</v>
                </pt>
                <pt idx="77">
                  <v>DO_20260507.xlsx</v>
                </pt>
                <pt idx="78">
                  <v>DO_20260508.xlsx</v>
                </pt>
                <pt idx="79">
                  <v>DO_20260511.xlsx</v>
                </pt>
                <pt idx="80">
                  <v>DO_20260512.xlsx</v>
                </pt>
                <pt idx="81">
                  <v>DO_20260513.xlsx</v>
                </pt>
                <pt idx="82">
                  <v>DO_20260514.xlsx</v>
                </pt>
                <pt idx="83">
                  <v>DO_20260518.xlsx</v>
                </pt>
                <pt idx="84">
                  <v>DO_20260515.xlsx</v>
                </pt>
                <pt idx="85">
                  <v>DO_20260519.xlsx</v>
                </pt>
                <pt idx="86">
                  <v>DO_20260520.xlsx</v>
                </pt>
                <pt idx="87">
                  <v>DO_20260521.xlsx</v>
                </pt>
                <pt idx="88">
                  <v>DO_20260522.xlsx</v>
                </pt>
                <pt idx="89">
                  <v>DO_20260525.xlsx</v>
                </pt>
                <pt idx="90">
                  <v>DO_20260526.xlsx</v>
                </pt>
                <pt idx="91">
                  <v>DO_20260527.xlsx</v>
                </pt>
                <pt idx="92">
                  <v>DO_20260528.xlsx</v>
                </pt>
                <pt idx="93">
                  <v>DO_20260529.xlsx</v>
                </pt>
                <pt idx="94">
                  <v>DO_20260601.xlsx</v>
                </pt>
                <pt idx="95">
                  <v>DO_20260602.xlsx</v>
                </pt>
                <pt idx="96">
                  <v>DO_20260603.xlsx</v>
                </pt>
                <pt idx="97">
                  <v>DO_20260604.xlsx</v>
                </pt>
                <pt idx="98">
                  <v>DO_20260605.xlsx</v>
                </pt>
                <pt idx="99">
                  <v>DO_20260608.xlsx</v>
                </pt>
              </strCache>
            </strRef>
          </cat>
          <val>
            <numRef>
              <f>Sheet1!$E$2:$E$101</f>
              <numCache>
                <formatCode>General</formatCode>
                <ptCount val="100"/>
                <pt idx="0">
                  <v>12</v>
                </pt>
                <pt idx="1">
                  <v>14</v>
                </pt>
                <pt idx="2">
                  <v>8</v>
                </pt>
                <pt idx="3">
                  <v>7</v>
                </pt>
                <pt idx="4">
                  <v>4</v>
                </pt>
                <pt idx="5">
                  <v>6</v>
                </pt>
                <pt idx="6">
                  <v>9</v>
                </pt>
                <pt idx="7">
                  <v>8</v>
                </pt>
                <pt idx="8">
                  <v>8</v>
                </pt>
                <pt idx="9">
                  <v>9</v>
                </pt>
                <pt idx="10">
                  <v>14</v>
                </pt>
                <pt idx="11">
                  <v>16</v>
                </pt>
                <pt idx="12">
                  <v>22</v>
                </pt>
                <pt idx="13">
                  <v>19</v>
                </pt>
                <pt idx="14">
                  <v>18</v>
                </pt>
                <pt idx="15">
                  <v>14</v>
                </pt>
                <pt idx="16">
                  <v>13</v>
                </pt>
                <pt idx="17">
                  <v>11</v>
                </pt>
                <pt idx="18">
                  <v>12</v>
                </pt>
                <pt idx="19">
                  <v>18</v>
                </pt>
                <pt idx="20">
                  <v>25</v>
                </pt>
                <pt idx="21">
                  <v>26</v>
                </pt>
                <pt idx="22">
                  <v>15</v>
                </pt>
                <pt idx="23">
                  <v>11</v>
                </pt>
                <pt idx="24">
                  <v>14</v>
                </pt>
                <pt idx="25">
                  <v>17</v>
                </pt>
                <pt idx="26">
                  <v>15</v>
                </pt>
                <pt idx="27">
                  <v>9</v>
                </pt>
                <pt idx="28">
                  <v>5</v>
                </pt>
                <pt idx="29">
                  <v>4</v>
                </pt>
                <pt idx="30">
                  <v>5</v>
                </pt>
                <pt idx="31">
                  <v>6</v>
                </pt>
                <pt idx="32">
                  <v>6</v>
                </pt>
                <pt idx="33">
                  <v>10</v>
                </pt>
                <pt idx="34">
                  <v>18</v>
                </pt>
                <pt idx="35">
                  <v>29</v>
                </pt>
                <pt idx="36">
                  <v>23</v>
                </pt>
                <pt idx="37">
                  <v>27</v>
                </pt>
                <pt idx="38">
                  <v>37</v>
                </pt>
                <pt idx="39">
                  <v>20</v>
                </pt>
                <pt idx="40">
                  <v>16</v>
                </pt>
                <pt idx="41">
                  <v>22</v>
                </pt>
                <pt idx="42">
                  <v>18</v>
                </pt>
                <pt idx="43">
                  <v>19</v>
                </pt>
                <pt idx="44">
                  <v>10</v>
                </pt>
                <pt idx="45">
                  <v>12</v>
                </pt>
                <pt idx="46">
                  <v>16</v>
                </pt>
                <pt idx="47">
                  <v>24</v>
                </pt>
                <pt idx="48">
                  <v>41</v>
                </pt>
                <pt idx="49">
                  <v>18</v>
                </pt>
                <pt idx="50">
                  <v>17</v>
                </pt>
                <pt idx="51">
                  <v>23</v>
                </pt>
                <pt idx="52">
                  <v>28</v>
                </pt>
                <pt idx="53">
                  <v>46</v>
                </pt>
                <pt idx="54">
                  <v>24</v>
                </pt>
                <pt idx="55">
                  <v>23</v>
                </pt>
                <pt idx="56">
                  <v>17</v>
                </pt>
                <pt idx="57">
                  <v>4</v>
                </pt>
                <pt idx="58">
                  <v>3</v>
                </pt>
                <pt idx="59">
                  <v>2</v>
                </pt>
                <pt idx="60">
                  <v>0</v>
                </pt>
                <pt idx="61">
                  <v>4</v>
                </pt>
                <pt idx="62">
                  <v>2</v>
                </pt>
                <pt idx="63">
                  <v>1</v>
                </pt>
                <pt idx="64">
                  <v>2</v>
                </pt>
                <pt idx="65">
                  <v>5</v>
                </pt>
                <pt idx="66">
                  <v>4</v>
                </pt>
                <pt idx="67">
                  <v>6</v>
                </pt>
                <pt idx="68">
                  <v>9</v>
                </pt>
                <pt idx="69">
                  <v>12</v>
                </pt>
                <pt idx="70">
                  <v>14</v>
                </pt>
                <pt idx="71">
                  <v>11</v>
                </pt>
                <pt idx="72">
                  <v>3</v>
                </pt>
                <pt idx="73">
                  <v>5</v>
                </pt>
                <pt idx="74">
                  <v>15</v>
                </pt>
                <pt idx="75">
                  <v>14</v>
                </pt>
                <pt idx="76">
                  <v>8</v>
                </pt>
                <pt idx="77">
                  <v>4</v>
                </pt>
                <pt idx="78">
                  <v>2</v>
                </pt>
                <pt idx="79">
                  <v>6</v>
                </pt>
                <pt idx="80">
                  <v>9</v>
                </pt>
                <pt idx="81">
                  <v>17</v>
                </pt>
                <pt idx="82">
                  <v>18</v>
                </pt>
                <pt idx="83">
                  <v>28</v>
                </pt>
                <pt idx="84">
                  <v>28</v>
                </pt>
                <pt idx="85">
                  <v>16</v>
                </pt>
                <pt idx="86">
                  <v>21</v>
                </pt>
                <pt idx="87">
                  <v>9</v>
                </pt>
                <pt idx="88">
                  <v>7</v>
                </pt>
                <pt idx="89">
                  <v>9</v>
                </pt>
                <pt idx="90">
                  <v>8</v>
                </pt>
                <pt idx="91">
                  <v>8</v>
                </pt>
                <pt idx="92">
                  <v>10</v>
                </pt>
                <pt idx="93">
                  <v>6</v>
                </pt>
                <pt idx="94">
                  <v>2</v>
                </pt>
                <pt idx="95">
                  <v>4</v>
                </pt>
                <pt idx="96">
                  <v>4</v>
                </pt>
                <pt idx="97">
                  <v>2</v>
                </pt>
                <pt idx="98">
                  <v>6</v>
                </pt>
                <pt idx="99">
                  <v>7</v>
                </pt>
              </numCache>
            </numRef>
          </val>
        </ser>
        <ser>
          <idx val="3"/>
          <order val="3"/>
          <tx>
            <v>空新進</v>
          </tx>
          <spPr>
            <a:ln>
              <a:prstDash val="solid"/>
            </a:ln>
          </spPr>
          <cat>
            <strRef>
              <f>Sheet1!$A$2:$A$101</f>
              <strCache>
                <ptCount val="100"/>
                <pt idx="0">
                  <v>DO_20260105.xlsx</v>
                </pt>
                <pt idx="1">
                  <v>DO_20260106.xlsx</v>
                </pt>
                <pt idx="2">
                  <v>DO_20260107.xlsx</v>
                </pt>
                <pt idx="3">
                  <v>DO_20260108.xlsx</v>
                </pt>
                <pt idx="4">
                  <v>DO_20260109.xlsx</v>
                </pt>
                <pt idx="5">
                  <v>DO_20260112.xlsx</v>
                </pt>
                <pt idx="6">
                  <v>DO_20260113.xlsx</v>
                </pt>
                <pt idx="7">
                  <v>DO_20260114.xlsx</v>
                </pt>
                <pt idx="8">
                  <v>DO_20260115.xlsx</v>
                </pt>
                <pt idx="9">
                  <v>DO_20260116.xlsx</v>
                </pt>
                <pt idx="10">
                  <v>DO_20260119.xlsx</v>
                </pt>
                <pt idx="11">
                  <v>DO_20260120.xlsx</v>
                </pt>
                <pt idx="12">
                  <v>DO_20260121.xlsx</v>
                </pt>
                <pt idx="13">
                  <v>DO_20260122.xlsx</v>
                </pt>
                <pt idx="14">
                  <v>DO_20260123.xlsx</v>
                </pt>
                <pt idx="15">
                  <v>DO_20260126.xlsx</v>
                </pt>
                <pt idx="16">
                  <v>DO_20260127.xlsx</v>
                </pt>
                <pt idx="17">
                  <v>DO_20260128.xlsx</v>
                </pt>
                <pt idx="18">
                  <v>DO_20260129.xlsx</v>
                </pt>
                <pt idx="19">
                  <v>DO_20260130.xlsx</v>
                </pt>
                <pt idx="20">
                  <v>DO_20260202.xlsx</v>
                </pt>
                <pt idx="21">
                  <v>DO_20260203.xlsx</v>
                </pt>
                <pt idx="22">
                  <v>DO_20260204.xlsx</v>
                </pt>
                <pt idx="23">
                  <v>DO_20260205.xlsx</v>
                </pt>
                <pt idx="24">
                  <v>DO_20260206.xlsx</v>
                </pt>
                <pt idx="25">
                  <v>DO_20260209.xlsx</v>
                </pt>
                <pt idx="26">
                  <v>DO_20260210.xlsx</v>
                </pt>
                <pt idx="27">
                  <v>DO_20260211.xlsx</v>
                </pt>
                <pt idx="28">
                  <v>DO_20260223.xlsx</v>
                </pt>
                <pt idx="29">
                  <v>DO_20260224.xlsx</v>
                </pt>
                <pt idx="30">
                  <v>DO_20260225.xlsx</v>
                </pt>
                <pt idx="31">
                  <v>DO_20260226.xlsx</v>
                </pt>
                <pt idx="32">
                  <v>DO_20260302.xlsx</v>
                </pt>
                <pt idx="33">
                  <v>DO_20260303.xlsx</v>
                </pt>
                <pt idx="34">
                  <v>DO_20260304.xlsx</v>
                </pt>
                <pt idx="35">
                  <v>DO_20260305.xlsx</v>
                </pt>
                <pt idx="36">
                  <v>DO_20260306.xlsx</v>
                </pt>
                <pt idx="37">
                  <v>DO_20260309.xlsx</v>
                </pt>
                <pt idx="38">
                  <v>DO_20260310.xlsx</v>
                </pt>
                <pt idx="39">
                  <v>DO_20260311.xlsx</v>
                </pt>
                <pt idx="40">
                  <v>DO_20260312.xlsx</v>
                </pt>
                <pt idx="41">
                  <v>DO_20260313.xlsx</v>
                </pt>
                <pt idx="42">
                  <v>DO_20260316.xlsx</v>
                </pt>
                <pt idx="43">
                  <v>DO_20260317.xlsx</v>
                </pt>
                <pt idx="44">
                  <v>DO_20260318.xlsx</v>
                </pt>
                <pt idx="45">
                  <v>DO_20260319.xlsx</v>
                </pt>
                <pt idx="46">
                  <v>DO_20260320.xlsx</v>
                </pt>
                <pt idx="47">
                  <v>DO_20260323.xlsx</v>
                </pt>
                <pt idx="48">
                  <v>DO_20260324.xlsx</v>
                </pt>
                <pt idx="49">
                  <v>DO_20260325.xlsx</v>
                </pt>
                <pt idx="50">
                  <v>DO_20260326.xlsx</v>
                </pt>
                <pt idx="51">
                  <v>DO_20260327.xlsx</v>
                </pt>
                <pt idx="52">
                  <v>DO_20260330.xlsx</v>
                </pt>
                <pt idx="53">
                  <v>DO_20260331.xlsx</v>
                </pt>
                <pt idx="54">
                  <v>DO_20260401.xlsx</v>
                </pt>
                <pt idx="55">
                  <v>DO_20260402.xlsx</v>
                </pt>
                <pt idx="56">
                  <v>DO_20260407.xlsx</v>
                </pt>
                <pt idx="57">
                  <v>DO_20260408.xlsx</v>
                </pt>
                <pt idx="58">
                  <v>DO_20260409.xlsx</v>
                </pt>
                <pt idx="59">
                  <v>DO_20260410.xlsx</v>
                </pt>
                <pt idx="60">
                  <v>DO_20260413.xlsx</v>
                </pt>
                <pt idx="61">
                  <v>DO_20260414.xlsx</v>
                </pt>
                <pt idx="62">
                  <v>DO_20260415.xlsx</v>
                </pt>
                <pt idx="63">
                  <v>DO_20260416.xlsx</v>
                </pt>
                <pt idx="64">
                  <v>DO_20260417.xlsx</v>
                </pt>
                <pt idx="65">
                  <v>DO_20260420.xlsx</v>
                </pt>
                <pt idx="66">
                  <v>DO_20260421.xlsx</v>
                </pt>
                <pt idx="67">
                  <v>DO_20260422.xlsx</v>
                </pt>
                <pt idx="68">
                  <v>DO_20260423.xlsx</v>
                </pt>
                <pt idx="69">
                  <v>DO_20260424.xlsx</v>
                </pt>
                <pt idx="70">
                  <v>DO_20260427.xlsx</v>
                </pt>
                <pt idx="71">
                  <v>DO_20260428.xlsx</v>
                </pt>
                <pt idx="72">
                  <v>DO_20260429.xlsx</v>
                </pt>
                <pt idx="73">
                  <v>DO_20260430.xlsx</v>
                </pt>
                <pt idx="74">
                  <v>DO_20260504.xlsx</v>
                </pt>
                <pt idx="75">
                  <v>DO_20260505.xlsx</v>
                </pt>
                <pt idx="76">
                  <v>DO_20260506.xlsx</v>
                </pt>
                <pt idx="77">
                  <v>DO_20260507.xlsx</v>
                </pt>
                <pt idx="78">
                  <v>DO_20260508.xlsx</v>
                </pt>
                <pt idx="79">
                  <v>DO_20260511.xlsx</v>
                </pt>
                <pt idx="80">
                  <v>DO_20260512.xlsx</v>
                </pt>
                <pt idx="81">
                  <v>DO_20260513.xlsx</v>
                </pt>
                <pt idx="82">
                  <v>DO_20260514.xlsx</v>
                </pt>
                <pt idx="83">
                  <v>DO_20260518.xlsx</v>
                </pt>
                <pt idx="84">
                  <v>DO_20260515.xlsx</v>
                </pt>
                <pt idx="85">
                  <v>DO_20260519.xlsx</v>
                </pt>
                <pt idx="86">
                  <v>DO_20260520.xlsx</v>
                </pt>
                <pt idx="87">
                  <v>DO_20260521.xlsx</v>
                </pt>
                <pt idx="88">
                  <v>DO_20260522.xlsx</v>
                </pt>
                <pt idx="89">
                  <v>DO_20260525.xlsx</v>
                </pt>
                <pt idx="90">
                  <v>DO_20260526.xlsx</v>
                </pt>
                <pt idx="91">
                  <v>DO_20260527.xlsx</v>
                </pt>
                <pt idx="92">
                  <v>DO_20260528.xlsx</v>
                </pt>
                <pt idx="93">
                  <v>DO_20260529.xlsx</v>
                </pt>
                <pt idx="94">
                  <v>DO_20260601.xlsx</v>
                </pt>
                <pt idx="95">
                  <v>DO_20260602.xlsx</v>
                </pt>
                <pt idx="96">
                  <v>DO_20260603.xlsx</v>
                </pt>
                <pt idx="97">
                  <v>DO_20260604.xlsx</v>
                </pt>
                <pt idx="98">
                  <v>DO_20260605.xlsx</v>
                </pt>
                <pt idx="99">
                  <v>DO_20260608.xlsx</v>
                </pt>
              </strCache>
            </strRef>
          </cat>
          <val>
            <numRef>
              <f>Sheet1!$F$2:$F$101</f>
              <numCache>
                <formatCode>General</formatCode>
                <ptCount val="100"/>
                <pt idx="0">
                  <v>7</v>
                </pt>
                <pt idx="1">
                  <v>3</v>
                </pt>
                <pt idx="2">
                  <v>3</v>
                </pt>
                <pt idx="3">
                  <v>7</v>
                </pt>
                <pt idx="4">
                  <v>4</v>
                </pt>
                <pt idx="5">
                  <v>7</v>
                </pt>
                <pt idx="6">
                  <v>6</v>
                </pt>
                <pt idx="7">
                  <v>2</v>
                </pt>
                <pt idx="8">
                  <v>4</v>
                </pt>
                <pt idx="9">
                  <v>9</v>
                </pt>
                <pt idx="10">
                  <v>7</v>
                </pt>
                <pt idx="11">
                  <v>6</v>
                </pt>
                <pt idx="12">
                  <v>14</v>
                </pt>
                <pt idx="13">
                  <v>10</v>
                </pt>
                <pt idx="14">
                  <v>6</v>
                </pt>
                <pt idx="15">
                  <v>3</v>
                </pt>
                <pt idx="16">
                  <v>6</v>
                </pt>
                <pt idx="17">
                  <v>5</v>
                </pt>
                <pt idx="18">
                  <v>8</v>
                </pt>
                <pt idx="19">
                  <v>15</v>
                </pt>
                <pt idx="20">
                  <v>16</v>
                </pt>
                <pt idx="21">
                  <v>7</v>
                </pt>
                <pt idx="22">
                  <v>6</v>
                </pt>
                <pt idx="23">
                  <v>7</v>
                </pt>
                <pt idx="24">
                  <v>10</v>
                </pt>
                <pt idx="25">
                  <v>9</v>
                </pt>
                <pt idx="26">
                  <v>7</v>
                </pt>
                <pt idx="27">
                  <v>2</v>
                </pt>
                <pt idx="28">
                  <v>3</v>
                </pt>
                <pt idx="29">
                  <v>2</v>
                </pt>
                <pt idx="30">
                  <v>3</v>
                </pt>
                <pt idx="31">
                  <v>2</v>
                </pt>
                <pt idx="32">
                  <v>4</v>
                </pt>
                <pt idx="33">
                  <v>8</v>
                </pt>
                <pt idx="34">
                  <v>18</v>
                </pt>
                <pt idx="35">
                  <v>8</v>
                </pt>
                <pt idx="36">
                  <v>6</v>
                </pt>
                <pt idx="37">
                  <v>15</v>
                </pt>
                <pt idx="38">
                  <v>10</v>
                </pt>
                <pt idx="39">
                  <v>1</v>
                </pt>
                <pt idx="40">
                  <v>12</v>
                </pt>
                <pt idx="41">
                  <v>9</v>
                </pt>
                <pt idx="42">
                  <v>7</v>
                </pt>
                <pt idx="43">
                  <v>2</v>
                </pt>
                <pt idx="44">
                  <v>3</v>
                </pt>
                <pt idx="45">
                  <v>8</v>
                </pt>
                <pt idx="46">
                  <v>10</v>
                </pt>
                <pt idx="47">
                  <v>27</v>
                </pt>
                <pt idx="48">
                  <v>18</v>
                </pt>
                <pt idx="49">
                  <v>6</v>
                </pt>
                <pt idx="50">
                  <v>17</v>
                </pt>
                <pt idx="51">
                  <v>8</v>
                </pt>
                <pt idx="52">
                  <v>22</v>
                </pt>
                <pt idx="53">
                  <v>11</v>
                </pt>
                <pt idx="54">
                  <v>3</v>
                </pt>
                <pt idx="55">
                  <v>9</v>
                </pt>
                <pt idx="56">
                  <v>4</v>
                </pt>
                <pt idx="57">
                  <v>0</v>
                </pt>
                <pt idx="58">
                  <v>4</v>
                </pt>
                <pt idx="59">
                  <v>0</v>
                </pt>
                <pt idx="60">
                  <v>4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3</v>
                </pt>
                <pt idx="65">
                  <v>3</v>
                </pt>
                <pt idx="66">
                  <v>2</v>
                </pt>
                <pt idx="67">
                  <v>4</v>
                </pt>
                <pt idx="68">
                  <v>4</v>
                </pt>
                <pt idx="69">
                  <v>3</v>
                </pt>
                <pt idx="70">
                  <v>5</v>
                </pt>
                <pt idx="71">
                  <v>3</v>
                </pt>
                <pt idx="72">
                  <v>4</v>
                </pt>
                <pt idx="73">
                  <v>15</v>
                </pt>
                <pt idx="74">
                  <v>6</v>
                </pt>
                <pt idx="75">
                  <v>5</v>
                </pt>
                <pt idx="76">
                  <v>3</v>
                </pt>
                <pt idx="77">
                  <v>2</v>
                </pt>
                <pt idx="78">
                  <v>6</v>
                </pt>
                <pt idx="79">
                  <v>5</v>
                </pt>
                <pt idx="80">
                  <v>10</v>
                </pt>
                <pt idx="81">
                  <v>4</v>
                </pt>
                <pt idx="82">
                  <v>7</v>
                </pt>
                <pt idx="83">
                  <v>10</v>
                </pt>
                <pt idx="84">
                  <v>5</v>
                </pt>
                <pt idx="85">
                  <v>11</v>
                </pt>
                <pt idx="86">
                  <v>11</v>
                </pt>
                <pt idx="87">
                  <v>1</v>
                </pt>
                <pt idx="88">
                  <v>6</v>
                </pt>
                <pt idx="89">
                  <v>3</v>
                </pt>
                <pt idx="90">
                  <v>4</v>
                </pt>
                <pt idx="91">
                  <v>3</v>
                </pt>
                <pt idx="92">
                  <v>8</v>
                </pt>
                <pt idx="93">
                  <v>2</v>
                </pt>
                <pt idx="94">
                  <v>4</v>
                </pt>
                <pt idx="95">
                  <v>5</v>
                </pt>
                <pt idx="96">
                  <v>0</v>
                </pt>
                <pt idx="97">
                  <v>5</v>
                </pt>
                <pt idx="98">
                  <v>1</v>
                </pt>
                <pt idx="99">
                  <v>2</v>
                </pt>
              </numCache>
            </numRef>
          </val>
        </ser>
        <gapWidth val="150"/>
        <axId val="175670400"/>
        <axId val="175671936"/>
      </barChart>
      <catAx>
        <axId val="175670400"/>
        <scaling>
          <orientation val="minMax"/>
        </scaling>
        <axPos val="b"/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sz="1600"/>
            </a:pPr>
            <a:r>
              <a:t>None</a:t>
            </a:r>
            <a:endParaRPr lang="zh-TW"/>
          </a:p>
        </txPr>
        <crossAx val="175671936"/>
        <crosses val="autoZero"/>
        <auto val="1"/>
        <lblAlgn val="ctr"/>
        <lblOffset val="100"/>
      </catAx>
      <valAx>
        <axId val="175671936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175670400"/>
        <crosses val="autoZero"/>
        <crossBetween val="between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385345081496725"/>
          <y val="0.02377079754581044"/>
          <w val="0.9374033396170445"/>
          <h val="0.5876623470089815"/>
        </manualLayout>
      </layout>
      <lineChart>
        <grouping val="standard"/>
        <ser>
          <idx val="0"/>
          <order val="0"/>
          <tx>
            <strRef>
              <f>Sheet1!$I$1</f>
              <strCache>
                <ptCount val="1"/>
                <pt idx="0">
                  <v>多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Sheet1!$A$2:$A$101</f>
              <strCache>
                <ptCount val="100"/>
                <pt idx="0">
                  <v>DO_20260105.xlsx</v>
                </pt>
                <pt idx="1">
                  <v>DO_20260106.xlsx</v>
                </pt>
                <pt idx="2">
                  <v>DO_20260107.xlsx</v>
                </pt>
                <pt idx="3">
                  <v>DO_20260108.xlsx</v>
                </pt>
                <pt idx="4">
                  <v>DO_20260109.xlsx</v>
                </pt>
                <pt idx="5">
                  <v>DO_20260112.xlsx</v>
                </pt>
                <pt idx="6">
                  <v>DO_20260113.xlsx</v>
                </pt>
                <pt idx="7">
                  <v>DO_20260114.xlsx</v>
                </pt>
                <pt idx="8">
                  <v>DO_20260115.xlsx</v>
                </pt>
                <pt idx="9">
                  <v>DO_20260116.xlsx</v>
                </pt>
                <pt idx="10">
                  <v>DO_20260119.xlsx</v>
                </pt>
                <pt idx="11">
                  <v>DO_20260120.xlsx</v>
                </pt>
                <pt idx="12">
                  <v>DO_20260121.xlsx</v>
                </pt>
                <pt idx="13">
                  <v>DO_20260122.xlsx</v>
                </pt>
                <pt idx="14">
                  <v>DO_20260123.xlsx</v>
                </pt>
                <pt idx="15">
                  <v>DO_20260126.xlsx</v>
                </pt>
                <pt idx="16">
                  <v>DO_20260127.xlsx</v>
                </pt>
                <pt idx="17">
                  <v>DO_20260128.xlsx</v>
                </pt>
                <pt idx="18">
                  <v>DO_20260129.xlsx</v>
                </pt>
                <pt idx="19">
                  <v>DO_20260130.xlsx</v>
                </pt>
                <pt idx="20">
                  <v>DO_20260202.xlsx</v>
                </pt>
                <pt idx="21">
                  <v>DO_20260203.xlsx</v>
                </pt>
                <pt idx="22">
                  <v>DO_20260204.xlsx</v>
                </pt>
                <pt idx="23">
                  <v>DO_20260205.xlsx</v>
                </pt>
                <pt idx="24">
                  <v>DO_20260206.xlsx</v>
                </pt>
                <pt idx="25">
                  <v>DO_20260209.xlsx</v>
                </pt>
                <pt idx="26">
                  <v>DO_20260210.xlsx</v>
                </pt>
                <pt idx="27">
                  <v>DO_20260211.xlsx</v>
                </pt>
                <pt idx="28">
                  <v>DO_20260223.xlsx</v>
                </pt>
                <pt idx="29">
                  <v>DO_20260224.xlsx</v>
                </pt>
                <pt idx="30">
                  <v>DO_20260225.xlsx</v>
                </pt>
                <pt idx="31">
                  <v>DO_20260226.xlsx</v>
                </pt>
                <pt idx="32">
                  <v>DO_20260302.xlsx</v>
                </pt>
                <pt idx="33">
                  <v>DO_20260303.xlsx</v>
                </pt>
                <pt idx="34">
                  <v>DO_20260304.xlsx</v>
                </pt>
                <pt idx="35">
                  <v>DO_20260305.xlsx</v>
                </pt>
                <pt idx="36">
                  <v>DO_20260306.xlsx</v>
                </pt>
                <pt idx="37">
                  <v>DO_20260309.xlsx</v>
                </pt>
                <pt idx="38">
                  <v>DO_20260310.xlsx</v>
                </pt>
                <pt idx="39">
                  <v>DO_20260311.xlsx</v>
                </pt>
                <pt idx="40">
                  <v>DO_20260312.xlsx</v>
                </pt>
                <pt idx="41">
                  <v>DO_20260313.xlsx</v>
                </pt>
                <pt idx="42">
                  <v>DO_20260316.xlsx</v>
                </pt>
                <pt idx="43">
                  <v>DO_20260317.xlsx</v>
                </pt>
                <pt idx="44">
                  <v>DO_20260318.xlsx</v>
                </pt>
                <pt idx="45">
                  <v>DO_20260319.xlsx</v>
                </pt>
                <pt idx="46">
                  <v>DO_20260320.xlsx</v>
                </pt>
                <pt idx="47">
                  <v>DO_20260323.xlsx</v>
                </pt>
                <pt idx="48">
                  <v>DO_20260324.xlsx</v>
                </pt>
                <pt idx="49">
                  <v>DO_20260325.xlsx</v>
                </pt>
                <pt idx="50">
                  <v>DO_20260326.xlsx</v>
                </pt>
                <pt idx="51">
                  <v>DO_20260327.xlsx</v>
                </pt>
                <pt idx="52">
                  <v>DO_20260330.xlsx</v>
                </pt>
                <pt idx="53">
                  <v>DO_20260331.xlsx</v>
                </pt>
                <pt idx="54">
                  <v>DO_20260401.xlsx</v>
                </pt>
                <pt idx="55">
                  <v>DO_20260402.xlsx</v>
                </pt>
                <pt idx="56">
                  <v>DO_20260407.xlsx</v>
                </pt>
                <pt idx="57">
                  <v>DO_20260408.xlsx</v>
                </pt>
                <pt idx="58">
                  <v>DO_20260409.xlsx</v>
                </pt>
                <pt idx="59">
                  <v>DO_20260410.xlsx</v>
                </pt>
                <pt idx="60">
                  <v>DO_20260413.xlsx</v>
                </pt>
                <pt idx="61">
                  <v>DO_20260414.xlsx</v>
                </pt>
                <pt idx="62">
                  <v>DO_20260415.xlsx</v>
                </pt>
                <pt idx="63">
                  <v>DO_20260416.xlsx</v>
                </pt>
                <pt idx="64">
                  <v>DO_20260417.xlsx</v>
                </pt>
                <pt idx="65">
                  <v>DO_20260420.xlsx</v>
                </pt>
                <pt idx="66">
                  <v>DO_20260421.xlsx</v>
                </pt>
                <pt idx="67">
                  <v>DO_20260422.xlsx</v>
                </pt>
                <pt idx="68">
                  <v>DO_20260423.xlsx</v>
                </pt>
                <pt idx="69">
                  <v>DO_20260424.xlsx</v>
                </pt>
                <pt idx="70">
                  <v>DO_20260427.xlsx</v>
                </pt>
                <pt idx="71">
                  <v>DO_20260428.xlsx</v>
                </pt>
                <pt idx="72">
                  <v>DO_20260429.xlsx</v>
                </pt>
                <pt idx="73">
                  <v>DO_20260430.xlsx</v>
                </pt>
                <pt idx="74">
                  <v>DO_20260504.xlsx</v>
                </pt>
                <pt idx="75">
                  <v>DO_20260505.xlsx</v>
                </pt>
                <pt idx="76">
                  <v>DO_20260506.xlsx</v>
                </pt>
                <pt idx="77">
                  <v>DO_20260507.xlsx</v>
                </pt>
                <pt idx="78">
                  <v>DO_20260508.xlsx</v>
                </pt>
                <pt idx="79">
                  <v>DO_20260511.xlsx</v>
                </pt>
                <pt idx="80">
                  <v>DO_20260512.xlsx</v>
                </pt>
                <pt idx="81">
                  <v>DO_20260513.xlsx</v>
                </pt>
                <pt idx="82">
                  <v>DO_20260514.xlsx</v>
                </pt>
                <pt idx="83">
                  <v>DO_20260518.xlsx</v>
                </pt>
                <pt idx="84">
                  <v>DO_20260515.xlsx</v>
                </pt>
                <pt idx="85">
                  <v>DO_20260519.xlsx</v>
                </pt>
                <pt idx="86">
                  <v>DO_20260520.xlsx</v>
                </pt>
                <pt idx="87">
                  <v>DO_20260521.xlsx</v>
                </pt>
                <pt idx="88">
                  <v>DO_20260522.xlsx</v>
                </pt>
                <pt idx="89">
                  <v>DO_20260525.xlsx</v>
                </pt>
                <pt idx="90">
                  <v>DO_20260526.xlsx</v>
                </pt>
                <pt idx="91">
                  <v>DO_20260527.xlsx</v>
                </pt>
                <pt idx="92">
                  <v>DO_20260528.xlsx</v>
                </pt>
                <pt idx="93">
                  <v>DO_20260529.xlsx</v>
                </pt>
                <pt idx="94">
                  <v>DO_20260601.xlsx</v>
                </pt>
                <pt idx="95">
                  <v>DO_20260602.xlsx</v>
                </pt>
                <pt idx="96">
                  <v>DO_20260603.xlsx</v>
                </pt>
                <pt idx="97">
                  <v>DO_20260604.xlsx</v>
                </pt>
                <pt idx="98">
                  <v>DO_20260605.xlsx</v>
                </pt>
                <pt idx="99">
                  <v>DO_20260608.xlsx</v>
                </pt>
              </strCache>
            </strRef>
          </cat>
          <val>
            <numRef>
              <f>Sheet1!$I$2:$I$101</f>
              <numCache>
                <formatCode>General</formatCode>
                <ptCount val="100"/>
                <pt idx="0">
                  <v>28</v>
                </pt>
                <pt idx="1">
                  <v>34</v>
                </pt>
                <pt idx="2">
                  <v>34</v>
                </pt>
                <pt idx="3">
                  <v>29</v>
                </pt>
                <pt idx="4">
                  <v>20</v>
                </pt>
                <pt idx="5">
                  <v>37</v>
                </pt>
                <pt idx="6">
                  <v>35</v>
                </pt>
                <pt idx="7">
                  <v>78</v>
                </pt>
                <pt idx="8">
                  <v>52</v>
                </pt>
                <pt idx="9">
                  <v>53</v>
                </pt>
                <pt idx="10">
                  <v>52</v>
                </pt>
                <pt idx="11">
                  <v>44</v>
                </pt>
                <pt idx="12">
                  <v>26</v>
                </pt>
                <pt idx="13">
                  <v>27</v>
                </pt>
                <pt idx="14">
                  <v>30</v>
                </pt>
                <pt idx="15">
                  <v>28</v>
                </pt>
                <pt idx="16">
                  <v>33</v>
                </pt>
                <pt idx="17">
                  <v>39</v>
                </pt>
                <pt idx="18">
                  <v>27</v>
                </pt>
                <pt idx="19">
                  <v>21</v>
                </pt>
                <pt idx="20">
                  <v>12</v>
                </pt>
                <pt idx="21">
                  <v>18</v>
                </pt>
                <pt idx="22">
                  <v>23</v>
                </pt>
                <pt idx="23">
                  <v>12</v>
                </pt>
                <pt idx="24">
                  <v>6</v>
                </pt>
                <pt idx="25">
                  <v>13</v>
                </pt>
                <pt idx="26">
                  <v>22</v>
                </pt>
                <pt idx="27">
                  <v>27</v>
                </pt>
                <pt idx="28">
                  <v>32</v>
                </pt>
                <pt idx="29">
                  <v>41</v>
                </pt>
                <pt idx="30">
                  <v>58</v>
                </pt>
                <pt idx="31">
                  <v>61</v>
                </pt>
                <pt idx="32">
                  <v>47</v>
                </pt>
                <pt idx="33">
                  <v>22</v>
                </pt>
                <pt idx="34">
                  <v>7</v>
                </pt>
                <pt idx="35">
                  <v>11</v>
                </pt>
                <pt idx="36">
                  <v>13</v>
                </pt>
                <pt idx="37">
                  <v>7</v>
                </pt>
                <pt idx="38">
                  <v>5</v>
                </pt>
                <pt idx="39">
                  <v>14</v>
                </pt>
                <pt idx="40">
                  <v>19</v>
                </pt>
                <pt idx="41">
                  <v>17</v>
                </pt>
                <pt idx="42">
                  <v>11</v>
                </pt>
                <pt idx="43">
                  <v>21</v>
                </pt>
                <pt idx="44">
                  <v>31</v>
                </pt>
                <pt idx="45">
                  <v>23</v>
                </pt>
                <pt idx="46">
                  <v>20</v>
                </pt>
                <pt idx="47">
                  <v>6</v>
                </pt>
                <pt idx="48">
                  <v>4</v>
                </pt>
                <pt idx="49">
                  <v>14</v>
                </pt>
                <pt idx="50">
                  <v>14</v>
                </pt>
                <pt idx="51">
                  <v>19</v>
                </pt>
                <pt idx="52">
                  <v>14</v>
                </pt>
                <pt idx="53">
                  <v>3</v>
                </pt>
                <pt idx="54">
                  <v>10</v>
                </pt>
                <pt idx="55">
                  <v>13</v>
                </pt>
                <pt idx="56">
                  <v>16</v>
                </pt>
                <pt idx="57">
                  <v>27</v>
                </pt>
                <pt idx="58">
                  <v>42</v>
                </pt>
                <pt idx="59">
                  <v>43</v>
                </pt>
                <pt idx="60">
                  <v>39</v>
                </pt>
                <pt idx="61">
                  <v>44</v>
                </pt>
                <pt idx="62">
                  <v>48</v>
                </pt>
                <pt idx="63">
                  <v>75</v>
                </pt>
                <pt idx="64">
                  <v>77</v>
                </pt>
                <pt idx="65">
                  <v>70</v>
                </pt>
                <pt idx="66">
                  <v>67</v>
                </pt>
                <pt idx="67">
                  <v>67</v>
                </pt>
                <pt idx="68">
                  <v>25</v>
                </pt>
                <pt idx="69">
                  <v>21</v>
                </pt>
                <pt idx="70">
                  <v>18</v>
                </pt>
                <pt idx="71">
                  <v>15</v>
                </pt>
                <pt idx="72">
                  <v>14</v>
                </pt>
                <pt idx="73">
                  <v>13</v>
                </pt>
                <pt idx="74">
                  <v>27</v>
                </pt>
                <pt idx="75">
                  <v>35</v>
                </pt>
                <pt idx="76">
                  <v>40</v>
                </pt>
                <pt idx="77">
                  <v>47</v>
                </pt>
                <pt idx="78">
                  <v>44</v>
                </pt>
                <pt idx="79">
                  <v>57</v>
                </pt>
                <pt idx="80">
                  <v>43</v>
                </pt>
                <pt idx="81">
                  <v>28</v>
                </pt>
                <pt idx="82">
                  <v>28</v>
                </pt>
                <pt idx="83">
                  <v>11</v>
                </pt>
                <pt idx="84">
                  <v>14</v>
                </pt>
                <pt idx="85">
                  <v>12</v>
                </pt>
                <pt idx="86">
                  <v>6</v>
                </pt>
                <pt idx="87">
                  <v>17</v>
                </pt>
                <pt idx="88">
                  <v>24</v>
                </pt>
                <pt idx="89">
                  <v>41</v>
                </pt>
                <pt idx="90">
                  <v>45</v>
                </pt>
                <pt idx="91">
                  <v>37</v>
                </pt>
                <pt idx="92">
                  <v>25</v>
                </pt>
                <pt idx="93">
                  <v>34</v>
                </pt>
                <pt idx="94">
                  <v>51</v>
                </pt>
                <pt idx="95">
                  <v>57</v>
                </pt>
                <pt idx="96">
                  <v>63</v>
                </pt>
                <pt idx="97">
                  <v>54</v>
                </pt>
                <pt idx="98">
                  <v>33</v>
                </pt>
                <pt idx="99">
                  <v>9</v>
                </pt>
              </numCache>
            </numRef>
          </val>
        </ser>
        <ser>
          <idx val="1"/>
          <order val="1"/>
          <tx>
            <strRef>
              <f>Sheet1!$K$1</f>
              <strCache>
                <ptCount val="1"/>
                <pt idx="0">
                  <v>空</v>
                </pt>
              </strCache>
            </strRef>
          </tx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Sheet1!$A$2:$A$101</f>
              <strCache>
                <ptCount val="100"/>
                <pt idx="0">
                  <v>DO_20260105.xlsx</v>
                </pt>
                <pt idx="1">
                  <v>DO_20260106.xlsx</v>
                </pt>
                <pt idx="2">
                  <v>DO_20260107.xlsx</v>
                </pt>
                <pt idx="3">
                  <v>DO_20260108.xlsx</v>
                </pt>
                <pt idx="4">
                  <v>DO_20260109.xlsx</v>
                </pt>
                <pt idx="5">
                  <v>DO_20260112.xlsx</v>
                </pt>
                <pt idx="6">
                  <v>DO_20260113.xlsx</v>
                </pt>
                <pt idx="7">
                  <v>DO_20260114.xlsx</v>
                </pt>
                <pt idx="8">
                  <v>DO_20260115.xlsx</v>
                </pt>
                <pt idx="9">
                  <v>DO_20260116.xlsx</v>
                </pt>
                <pt idx="10">
                  <v>DO_20260119.xlsx</v>
                </pt>
                <pt idx="11">
                  <v>DO_20260120.xlsx</v>
                </pt>
                <pt idx="12">
                  <v>DO_20260121.xlsx</v>
                </pt>
                <pt idx="13">
                  <v>DO_20260122.xlsx</v>
                </pt>
                <pt idx="14">
                  <v>DO_20260123.xlsx</v>
                </pt>
                <pt idx="15">
                  <v>DO_20260126.xlsx</v>
                </pt>
                <pt idx="16">
                  <v>DO_20260127.xlsx</v>
                </pt>
                <pt idx="17">
                  <v>DO_20260128.xlsx</v>
                </pt>
                <pt idx="18">
                  <v>DO_20260129.xlsx</v>
                </pt>
                <pt idx="19">
                  <v>DO_20260130.xlsx</v>
                </pt>
                <pt idx="20">
                  <v>DO_20260202.xlsx</v>
                </pt>
                <pt idx="21">
                  <v>DO_20260203.xlsx</v>
                </pt>
                <pt idx="22">
                  <v>DO_20260204.xlsx</v>
                </pt>
                <pt idx="23">
                  <v>DO_20260205.xlsx</v>
                </pt>
                <pt idx="24">
                  <v>DO_20260206.xlsx</v>
                </pt>
                <pt idx="25">
                  <v>DO_20260209.xlsx</v>
                </pt>
                <pt idx="26">
                  <v>DO_20260210.xlsx</v>
                </pt>
                <pt idx="27">
                  <v>DO_20260211.xlsx</v>
                </pt>
                <pt idx="28">
                  <v>DO_20260223.xlsx</v>
                </pt>
                <pt idx="29">
                  <v>DO_20260224.xlsx</v>
                </pt>
                <pt idx="30">
                  <v>DO_20260225.xlsx</v>
                </pt>
                <pt idx="31">
                  <v>DO_20260226.xlsx</v>
                </pt>
                <pt idx="32">
                  <v>DO_20260302.xlsx</v>
                </pt>
                <pt idx="33">
                  <v>DO_20260303.xlsx</v>
                </pt>
                <pt idx="34">
                  <v>DO_20260304.xlsx</v>
                </pt>
                <pt idx="35">
                  <v>DO_20260305.xlsx</v>
                </pt>
                <pt idx="36">
                  <v>DO_20260306.xlsx</v>
                </pt>
                <pt idx="37">
                  <v>DO_20260309.xlsx</v>
                </pt>
                <pt idx="38">
                  <v>DO_20260310.xlsx</v>
                </pt>
                <pt idx="39">
                  <v>DO_20260311.xlsx</v>
                </pt>
                <pt idx="40">
                  <v>DO_20260312.xlsx</v>
                </pt>
                <pt idx="41">
                  <v>DO_20260313.xlsx</v>
                </pt>
                <pt idx="42">
                  <v>DO_20260316.xlsx</v>
                </pt>
                <pt idx="43">
                  <v>DO_20260317.xlsx</v>
                </pt>
                <pt idx="44">
                  <v>DO_20260318.xlsx</v>
                </pt>
                <pt idx="45">
                  <v>DO_20260319.xlsx</v>
                </pt>
                <pt idx="46">
                  <v>DO_20260320.xlsx</v>
                </pt>
                <pt idx="47">
                  <v>DO_20260323.xlsx</v>
                </pt>
                <pt idx="48">
                  <v>DO_20260324.xlsx</v>
                </pt>
                <pt idx="49">
                  <v>DO_20260325.xlsx</v>
                </pt>
                <pt idx="50">
                  <v>DO_20260326.xlsx</v>
                </pt>
                <pt idx="51">
                  <v>DO_20260327.xlsx</v>
                </pt>
                <pt idx="52">
                  <v>DO_20260330.xlsx</v>
                </pt>
                <pt idx="53">
                  <v>DO_20260331.xlsx</v>
                </pt>
                <pt idx="54">
                  <v>DO_20260401.xlsx</v>
                </pt>
                <pt idx="55">
                  <v>DO_20260402.xlsx</v>
                </pt>
                <pt idx="56">
                  <v>DO_20260407.xlsx</v>
                </pt>
                <pt idx="57">
                  <v>DO_20260408.xlsx</v>
                </pt>
                <pt idx="58">
                  <v>DO_20260409.xlsx</v>
                </pt>
                <pt idx="59">
                  <v>DO_20260410.xlsx</v>
                </pt>
                <pt idx="60">
                  <v>DO_20260413.xlsx</v>
                </pt>
                <pt idx="61">
                  <v>DO_20260414.xlsx</v>
                </pt>
                <pt idx="62">
                  <v>DO_20260415.xlsx</v>
                </pt>
                <pt idx="63">
                  <v>DO_20260416.xlsx</v>
                </pt>
                <pt idx="64">
                  <v>DO_20260417.xlsx</v>
                </pt>
                <pt idx="65">
                  <v>DO_20260420.xlsx</v>
                </pt>
                <pt idx="66">
                  <v>DO_20260421.xlsx</v>
                </pt>
                <pt idx="67">
                  <v>DO_20260422.xlsx</v>
                </pt>
                <pt idx="68">
                  <v>DO_20260423.xlsx</v>
                </pt>
                <pt idx="69">
                  <v>DO_20260424.xlsx</v>
                </pt>
                <pt idx="70">
                  <v>DO_20260427.xlsx</v>
                </pt>
                <pt idx="71">
                  <v>DO_20260428.xlsx</v>
                </pt>
                <pt idx="72">
                  <v>DO_20260429.xlsx</v>
                </pt>
                <pt idx="73">
                  <v>DO_20260430.xlsx</v>
                </pt>
                <pt idx="74">
                  <v>DO_20260504.xlsx</v>
                </pt>
                <pt idx="75">
                  <v>DO_20260505.xlsx</v>
                </pt>
                <pt idx="76">
                  <v>DO_20260506.xlsx</v>
                </pt>
                <pt idx="77">
                  <v>DO_20260507.xlsx</v>
                </pt>
                <pt idx="78">
                  <v>DO_20260508.xlsx</v>
                </pt>
                <pt idx="79">
                  <v>DO_20260511.xlsx</v>
                </pt>
                <pt idx="80">
                  <v>DO_20260512.xlsx</v>
                </pt>
                <pt idx="81">
                  <v>DO_20260513.xlsx</v>
                </pt>
                <pt idx="82">
                  <v>DO_20260514.xlsx</v>
                </pt>
                <pt idx="83">
                  <v>DO_20260518.xlsx</v>
                </pt>
                <pt idx="84">
                  <v>DO_20260515.xlsx</v>
                </pt>
                <pt idx="85">
                  <v>DO_20260519.xlsx</v>
                </pt>
                <pt idx="86">
                  <v>DO_20260520.xlsx</v>
                </pt>
                <pt idx="87">
                  <v>DO_20260521.xlsx</v>
                </pt>
                <pt idx="88">
                  <v>DO_20260522.xlsx</v>
                </pt>
                <pt idx="89">
                  <v>DO_20260525.xlsx</v>
                </pt>
                <pt idx="90">
                  <v>DO_20260526.xlsx</v>
                </pt>
                <pt idx="91">
                  <v>DO_20260527.xlsx</v>
                </pt>
                <pt idx="92">
                  <v>DO_20260528.xlsx</v>
                </pt>
                <pt idx="93">
                  <v>DO_20260529.xlsx</v>
                </pt>
                <pt idx="94">
                  <v>DO_20260601.xlsx</v>
                </pt>
                <pt idx="95">
                  <v>DO_20260602.xlsx</v>
                </pt>
                <pt idx="96">
                  <v>DO_20260603.xlsx</v>
                </pt>
                <pt idx="97">
                  <v>DO_20260604.xlsx</v>
                </pt>
                <pt idx="98">
                  <v>DO_20260605.xlsx</v>
                </pt>
                <pt idx="99">
                  <v>DO_20260608.xlsx</v>
                </pt>
              </strCache>
            </strRef>
          </cat>
          <val>
            <numRef>
              <f>Sheet1!$K$2:$K$101</f>
              <numCache>
                <formatCode>General</formatCode>
                <ptCount val="100"/>
                <pt idx="0">
                  <v>19</v>
                </pt>
                <pt idx="1">
                  <v>17</v>
                </pt>
                <pt idx="2">
                  <v>11</v>
                </pt>
                <pt idx="3">
                  <v>14</v>
                </pt>
                <pt idx="4">
                  <v>8</v>
                </pt>
                <pt idx="5">
                  <v>13</v>
                </pt>
                <pt idx="6">
                  <v>15</v>
                </pt>
                <pt idx="7">
                  <v>10</v>
                </pt>
                <pt idx="8">
                  <v>12</v>
                </pt>
                <pt idx="9">
                  <v>18</v>
                </pt>
                <pt idx="10">
                  <v>21</v>
                </pt>
                <pt idx="11">
                  <v>22</v>
                </pt>
                <pt idx="12">
                  <v>36</v>
                </pt>
                <pt idx="13">
                  <v>29</v>
                </pt>
                <pt idx="14">
                  <v>24</v>
                </pt>
                <pt idx="15">
                  <v>17</v>
                </pt>
                <pt idx="16">
                  <v>19</v>
                </pt>
                <pt idx="17">
                  <v>16</v>
                </pt>
                <pt idx="18">
                  <v>20</v>
                </pt>
                <pt idx="19">
                  <v>33</v>
                </pt>
                <pt idx="20">
                  <v>41</v>
                </pt>
                <pt idx="21">
                  <v>33</v>
                </pt>
                <pt idx="22">
                  <v>21</v>
                </pt>
                <pt idx="23">
                  <v>18</v>
                </pt>
                <pt idx="24">
                  <v>24</v>
                </pt>
                <pt idx="25">
                  <v>26</v>
                </pt>
                <pt idx="26">
                  <v>22</v>
                </pt>
                <pt idx="27">
                  <v>11</v>
                </pt>
                <pt idx="28">
                  <v>8</v>
                </pt>
                <pt idx="29">
                  <v>6</v>
                </pt>
                <pt idx="30">
                  <v>8</v>
                </pt>
                <pt idx="31">
                  <v>8</v>
                </pt>
                <pt idx="32">
                  <v>10</v>
                </pt>
                <pt idx="33">
                  <v>18</v>
                </pt>
                <pt idx="34">
                  <v>36</v>
                </pt>
                <pt idx="35">
                  <v>37</v>
                </pt>
                <pt idx="36">
                  <v>29</v>
                </pt>
                <pt idx="37">
                  <v>42</v>
                </pt>
                <pt idx="38">
                  <v>47</v>
                </pt>
                <pt idx="39">
                  <v>21</v>
                </pt>
                <pt idx="40">
                  <v>28</v>
                </pt>
                <pt idx="41">
                  <v>31</v>
                </pt>
                <pt idx="42">
                  <v>25</v>
                </pt>
                <pt idx="43">
                  <v>21</v>
                </pt>
                <pt idx="44">
                  <v>13</v>
                </pt>
                <pt idx="45">
                  <v>20</v>
                </pt>
                <pt idx="46">
                  <v>26</v>
                </pt>
                <pt idx="47">
                  <v>51</v>
                </pt>
                <pt idx="48">
                  <v>59</v>
                </pt>
                <pt idx="49">
                  <v>24</v>
                </pt>
                <pt idx="50">
                  <v>34</v>
                </pt>
                <pt idx="51">
                  <v>31</v>
                </pt>
                <pt idx="52">
                  <v>50</v>
                </pt>
                <pt idx="53">
                  <v>57</v>
                </pt>
                <pt idx="54">
                  <v>27</v>
                </pt>
                <pt idx="55">
                  <v>32</v>
                </pt>
                <pt idx="56">
                  <v>21</v>
                </pt>
                <pt idx="57">
                  <v>4</v>
                </pt>
                <pt idx="58">
                  <v>7</v>
                </pt>
                <pt idx="59">
                  <v>2</v>
                </pt>
                <pt idx="60">
                  <v>4</v>
                </pt>
                <pt idx="61">
                  <v>5</v>
                </pt>
                <pt idx="62">
                  <v>3</v>
                </pt>
                <pt idx="63">
                  <v>2</v>
                </pt>
                <pt idx="64">
                  <v>5</v>
                </pt>
                <pt idx="65">
                  <v>8</v>
                </pt>
                <pt idx="66">
                  <v>6</v>
                </pt>
                <pt idx="67">
                  <v>10</v>
                </pt>
                <pt idx="68">
                  <v>13</v>
                </pt>
                <pt idx="69">
                  <v>15</v>
                </pt>
                <pt idx="70">
                  <v>19</v>
                </pt>
                <pt idx="71">
                  <v>14</v>
                </pt>
                <pt idx="72">
                  <v>7</v>
                </pt>
                <pt idx="73">
                  <v>20</v>
                </pt>
                <pt idx="74">
                  <v>21</v>
                </pt>
                <pt idx="75">
                  <v>19</v>
                </pt>
                <pt idx="76">
                  <v>11</v>
                </pt>
                <pt idx="77">
                  <v>6</v>
                </pt>
                <pt idx="78">
                  <v>8</v>
                </pt>
                <pt idx="79">
                  <v>11</v>
                </pt>
                <pt idx="80">
                  <v>19</v>
                </pt>
                <pt idx="81">
                  <v>21</v>
                </pt>
                <pt idx="82">
                  <v>25</v>
                </pt>
                <pt idx="83">
                  <v>38</v>
                </pt>
                <pt idx="84">
                  <v>33</v>
                </pt>
                <pt idx="85">
                  <v>27</v>
                </pt>
                <pt idx="86">
                  <v>32</v>
                </pt>
                <pt idx="87">
                  <v>10</v>
                </pt>
                <pt idx="88">
                  <v>13</v>
                </pt>
                <pt idx="89">
                  <v>12</v>
                </pt>
                <pt idx="90">
                  <v>12</v>
                </pt>
                <pt idx="91">
                  <v>11</v>
                </pt>
                <pt idx="92">
                  <v>18</v>
                </pt>
                <pt idx="93">
                  <v>8</v>
                </pt>
                <pt idx="94">
                  <v>6</v>
                </pt>
                <pt idx="95">
                  <v>9</v>
                </pt>
                <pt idx="96">
                  <v>4</v>
                </pt>
                <pt idx="97">
                  <v>7</v>
                </pt>
                <pt idx="98">
                  <v>7</v>
                </pt>
                <pt idx="99">
                  <v>9</v>
                </pt>
              </numCache>
            </numRef>
          </val>
        </ser>
        <ser>
          <idx val="2"/>
          <order val="2"/>
          <tx>
            <strRef>
              <f>Sheet1!$O$1</f>
              <strCache>
                <ptCount val="1"/>
                <pt idx="0">
                  <v>多空家數和</v>
                </pt>
              </strCache>
            </strRef>
          </tx>
          <spPr>
            <a:ln>
              <a:solidFill>
                <a:schemeClr val="accent6">
                  <a:lumMod val="50000"/>
                </a:schemeClr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Sheet1!$A$2:$A$101</f>
              <strCache>
                <ptCount val="100"/>
                <pt idx="0">
                  <v>DO_20260105.xlsx</v>
                </pt>
                <pt idx="1">
                  <v>DO_20260106.xlsx</v>
                </pt>
                <pt idx="2">
                  <v>DO_20260107.xlsx</v>
                </pt>
                <pt idx="3">
                  <v>DO_20260108.xlsx</v>
                </pt>
                <pt idx="4">
                  <v>DO_20260109.xlsx</v>
                </pt>
                <pt idx="5">
                  <v>DO_20260112.xlsx</v>
                </pt>
                <pt idx="6">
                  <v>DO_20260113.xlsx</v>
                </pt>
                <pt idx="7">
                  <v>DO_20260114.xlsx</v>
                </pt>
                <pt idx="8">
                  <v>DO_20260115.xlsx</v>
                </pt>
                <pt idx="9">
                  <v>DO_20260116.xlsx</v>
                </pt>
                <pt idx="10">
                  <v>DO_20260119.xlsx</v>
                </pt>
                <pt idx="11">
                  <v>DO_20260120.xlsx</v>
                </pt>
                <pt idx="12">
                  <v>DO_20260121.xlsx</v>
                </pt>
                <pt idx="13">
                  <v>DO_20260122.xlsx</v>
                </pt>
                <pt idx="14">
                  <v>DO_20260123.xlsx</v>
                </pt>
                <pt idx="15">
                  <v>DO_20260126.xlsx</v>
                </pt>
                <pt idx="16">
                  <v>DO_20260127.xlsx</v>
                </pt>
                <pt idx="17">
                  <v>DO_20260128.xlsx</v>
                </pt>
                <pt idx="18">
                  <v>DO_20260129.xlsx</v>
                </pt>
                <pt idx="19">
                  <v>DO_20260130.xlsx</v>
                </pt>
                <pt idx="20">
                  <v>DO_20260202.xlsx</v>
                </pt>
                <pt idx="21">
                  <v>DO_20260203.xlsx</v>
                </pt>
                <pt idx="22">
                  <v>DO_20260204.xlsx</v>
                </pt>
                <pt idx="23">
                  <v>DO_20260205.xlsx</v>
                </pt>
                <pt idx="24">
                  <v>DO_20260206.xlsx</v>
                </pt>
                <pt idx="25">
                  <v>DO_20260209.xlsx</v>
                </pt>
                <pt idx="26">
                  <v>DO_20260210.xlsx</v>
                </pt>
                <pt idx="27">
                  <v>DO_20260211.xlsx</v>
                </pt>
                <pt idx="28">
                  <v>DO_20260223.xlsx</v>
                </pt>
                <pt idx="29">
                  <v>DO_20260224.xlsx</v>
                </pt>
                <pt idx="30">
                  <v>DO_20260225.xlsx</v>
                </pt>
                <pt idx="31">
                  <v>DO_20260226.xlsx</v>
                </pt>
                <pt idx="32">
                  <v>DO_20260302.xlsx</v>
                </pt>
                <pt idx="33">
                  <v>DO_20260303.xlsx</v>
                </pt>
                <pt idx="34">
                  <v>DO_20260304.xlsx</v>
                </pt>
                <pt idx="35">
                  <v>DO_20260305.xlsx</v>
                </pt>
                <pt idx="36">
                  <v>DO_20260306.xlsx</v>
                </pt>
                <pt idx="37">
                  <v>DO_20260309.xlsx</v>
                </pt>
                <pt idx="38">
                  <v>DO_20260310.xlsx</v>
                </pt>
                <pt idx="39">
                  <v>DO_20260311.xlsx</v>
                </pt>
                <pt idx="40">
                  <v>DO_20260312.xlsx</v>
                </pt>
                <pt idx="41">
                  <v>DO_20260313.xlsx</v>
                </pt>
                <pt idx="42">
                  <v>DO_20260316.xlsx</v>
                </pt>
                <pt idx="43">
                  <v>DO_20260317.xlsx</v>
                </pt>
                <pt idx="44">
                  <v>DO_20260318.xlsx</v>
                </pt>
                <pt idx="45">
                  <v>DO_20260319.xlsx</v>
                </pt>
                <pt idx="46">
                  <v>DO_20260320.xlsx</v>
                </pt>
                <pt idx="47">
                  <v>DO_20260323.xlsx</v>
                </pt>
                <pt idx="48">
                  <v>DO_20260324.xlsx</v>
                </pt>
                <pt idx="49">
                  <v>DO_20260325.xlsx</v>
                </pt>
                <pt idx="50">
                  <v>DO_20260326.xlsx</v>
                </pt>
                <pt idx="51">
                  <v>DO_20260327.xlsx</v>
                </pt>
                <pt idx="52">
                  <v>DO_20260330.xlsx</v>
                </pt>
                <pt idx="53">
                  <v>DO_20260331.xlsx</v>
                </pt>
                <pt idx="54">
                  <v>DO_20260401.xlsx</v>
                </pt>
                <pt idx="55">
                  <v>DO_20260402.xlsx</v>
                </pt>
                <pt idx="56">
                  <v>DO_20260407.xlsx</v>
                </pt>
                <pt idx="57">
                  <v>DO_20260408.xlsx</v>
                </pt>
                <pt idx="58">
                  <v>DO_20260409.xlsx</v>
                </pt>
                <pt idx="59">
                  <v>DO_20260410.xlsx</v>
                </pt>
                <pt idx="60">
                  <v>DO_20260413.xlsx</v>
                </pt>
                <pt idx="61">
                  <v>DO_20260414.xlsx</v>
                </pt>
                <pt idx="62">
                  <v>DO_20260415.xlsx</v>
                </pt>
                <pt idx="63">
                  <v>DO_20260416.xlsx</v>
                </pt>
                <pt idx="64">
                  <v>DO_20260417.xlsx</v>
                </pt>
                <pt idx="65">
                  <v>DO_20260420.xlsx</v>
                </pt>
                <pt idx="66">
                  <v>DO_20260421.xlsx</v>
                </pt>
                <pt idx="67">
                  <v>DO_20260422.xlsx</v>
                </pt>
                <pt idx="68">
                  <v>DO_20260423.xlsx</v>
                </pt>
                <pt idx="69">
                  <v>DO_20260424.xlsx</v>
                </pt>
                <pt idx="70">
                  <v>DO_20260427.xlsx</v>
                </pt>
                <pt idx="71">
                  <v>DO_20260428.xlsx</v>
                </pt>
                <pt idx="72">
                  <v>DO_20260429.xlsx</v>
                </pt>
                <pt idx="73">
                  <v>DO_20260430.xlsx</v>
                </pt>
                <pt idx="74">
                  <v>DO_20260504.xlsx</v>
                </pt>
                <pt idx="75">
                  <v>DO_20260505.xlsx</v>
                </pt>
                <pt idx="76">
                  <v>DO_20260506.xlsx</v>
                </pt>
                <pt idx="77">
                  <v>DO_20260507.xlsx</v>
                </pt>
                <pt idx="78">
                  <v>DO_20260508.xlsx</v>
                </pt>
                <pt idx="79">
                  <v>DO_20260511.xlsx</v>
                </pt>
                <pt idx="80">
                  <v>DO_20260512.xlsx</v>
                </pt>
                <pt idx="81">
                  <v>DO_20260513.xlsx</v>
                </pt>
                <pt idx="82">
                  <v>DO_20260514.xlsx</v>
                </pt>
                <pt idx="83">
                  <v>DO_20260518.xlsx</v>
                </pt>
                <pt idx="84">
                  <v>DO_20260515.xlsx</v>
                </pt>
                <pt idx="85">
                  <v>DO_20260519.xlsx</v>
                </pt>
                <pt idx="86">
                  <v>DO_20260520.xlsx</v>
                </pt>
                <pt idx="87">
                  <v>DO_20260521.xlsx</v>
                </pt>
                <pt idx="88">
                  <v>DO_20260522.xlsx</v>
                </pt>
                <pt idx="89">
                  <v>DO_20260525.xlsx</v>
                </pt>
                <pt idx="90">
                  <v>DO_20260526.xlsx</v>
                </pt>
                <pt idx="91">
                  <v>DO_20260527.xlsx</v>
                </pt>
                <pt idx="92">
                  <v>DO_20260528.xlsx</v>
                </pt>
                <pt idx="93">
                  <v>DO_20260529.xlsx</v>
                </pt>
                <pt idx="94">
                  <v>DO_20260601.xlsx</v>
                </pt>
                <pt idx="95">
                  <v>DO_20260602.xlsx</v>
                </pt>
                <pt idx="96">
                  <v>DO_20260603.xlsx</v>
                </pt>
                <pt idx="97">
                  <v>DO_20260604.xlsx</v>
                </pt>
                <pt idx="98">
                  <v>DO_20260605.xlsx</v>
                </pt>
                <pt idx="99">
                  <v>DO_20260608.xlsx</v>
                </pt>
              </strCache>
            </strRef>
          </cat>
          <val>
            <numRef>
              <f>Sheet1!$O$2:$O$101</f>
              <numCache>
                <formatCode>General</formatCode>
                <ptCount val="100"/>
                <pt idx="0">
                  <v>47</v>
                </pt>
                <pt idx="1">
                  <v>51</v>
                </pt>
                <pt idx="2">
                  <v>45</v>
                </pt>
                <pt idx="3">
                  <v>43</v>
                </pt>
                <pt idx="4">
                  <v>28</v>
                </pt>
                <pt idx="5">
                  <v>50</v>
                </pt>
                <pt idx="6">
                  <v>50</v>
                </pt>
                <pt idx="7">
                  <v>88</v>
                </pt>
                <pt idx="8">
                  <v>64</v>
                </pt>
                <pt idx="9">
                  <v>71</v>
                </pt>
                <pt idx="10">
                  <v>73</v>
                </pt>
                <pt idx="11">
                  <v>66</v>
                </pt>
                <pt idx="12">
                  <v>62</v>
                </pt>
                <pt idx="13">
                  <v>56</v>
                </pt>
                <pt idx="14">
                  <v>54</v>
                </pt>
                <pt idx="15">
                  <v>45</v>
                </pt>
                <pt idx="16">
                  <v>52</v>
                </pt>
                <pt idx="17">
                  <v>55</v>
                </pt>
                <pt idx="18">
                  <v>47</v>
                </pt>
                <pt idx="19">
                  <v>54</v>
                </pt>
                <pt idx="20">
                  <v>53</v>
                </pt>
                <pt idx="21">
                  <v>51</v>
                </pt>
                <pt idx="22">
                  <v>44</v>
                </pt>
                <pt idx="23">
                  <v>30</v>
                </pt>
                <pt idx="24">
                  <v>30</v>
                </pt>
                <pt idx="25">
                  <v>39</v>
                </pt>
                <pt idx="26">
                  <v>44</v>
                </pt>
                <pt idx="27">
                  <v>38</v>
                </pt>
                <pt idx="28">
                  <v>40</v>
                </pt>
                <pt idx="29">
                  <v>47</v>
                </pt>
                <pt idx="30">
                  <v>66</v>
                </pt>
                <pt idx="31">
                  <v>69</v>
                </pt>
                <pt idx="32">
                  <v>57</v>
                </pt>
                <pt idx="33">
                  <v>40</v>
                </pt>
                <pt idx="34">
                  <v>43</v>
                </pt>
                <pt idx="35">
                  <v>48</v>
                </pt>
                <pt idx="36">
                  <v>42</v>
                </pt>
                <pt idx="37">
                  <v>49</v>
                </pt>
                <pt idx="38">
                  <v>52</v>
                </pt>
                <pt idx="39">
                  <v>35</v>
                </pt>
                <pt idx="40">
                  <v>47</v>
                </pt>
                <pt idx="41">
                  <v>48</v>
                </pt>
                <pt idx="42">
                  <v>36</v>
                </pt>
                <pt idx="43">
                  <v>42</v>
                </pt>
                <pt idx="44">
                  <v>44</v>
                </pt>
                <pt idx="45">
                  <v>43</v>
                </pt>
                <pt idx="46">
                  <v>46</v>
                </pt>
                <pt idx="47">
                  <v>57</v>
                </pt>
                <pt idx="48">
                  <v>63</v>
                </pt>
                <pt idx="49">
                  <v>38</v>
                </pt>
                <pt idx="50">
                  <v>48</v>
                </pt>
                <pt idx="51">
                  <v>50</v>
                </pt>
                <pt idx="52">
                  <v>64</v>
                </pt>
                <pt idx="53">
                  <v>60</v>
                </pt>
                <pt idx="54">
                  <v>37</v>
                </pt>
                <pt idx="55">
                  <v>45</v>
                </pt>
                <pt idx="56">
                  <v>37</v>
                </pt>
                <pt idx="57">
                  <v>31</v>
                </pt>
                <pt idx="58">
                  <v>49</v>
                </pt>
                <pt idx="59">
                  <v>45</v>
                </pt>
                <pt idx="60">
                  <v>43</v>
                </pt>
                <pt idx="61">
                  <v>49</v>
                </pt>
                <pt idx="62">
                  <v>51</v>
                </pt>
                <pt idx="63">
                  <v>77</v>
                </pt>
                <pt idx="64">
                  <v>82</v>
                </pt>
                <pt idx="65">
                  <v>78</v>
                </pt>
                <pt idx="66">
                  <v>73</v>
                </pt>
                <pt idx="67">
                  <v>77</v>
                </pt>
                <pt idx="68">
                  <v>38</v>
                </pt>
                <pt idx="69">
                  <v>36</v>
                </pt>
                <pt idx="70">
                  <v>37</v>
                </pt>
                <pt idx="71">
                  <v>29</v>
                </pt>
                <pt idx="72">
                  <v>21</v>
                </pt>
                <pt idx="73">
                  <v>33</v>
                </pt>
                <pt idx="74">
                  <v>48</v>
                </pt>
                <pt idx="75">
                  <v>54</v>
                </pt>
                <pt idx="76">
                  <v>51</v>
                </pt>
                <pt idx="77">
                  <v>53</v>
                </pt>
                <pt idx="78">
                  <v>52</v>
                </pt>
                <pt idx="79">
                  <v>68</v>
                </pt>
                <pt idx="80">
                  <v>62</v>
                </pt>
                <pt idx="81">
                  <v>49</v>
                </pt>
                <pt idx="82">
                  <v>53</v>
                </pt>
                <pt idx="83">
                  <v>49</v>
                </pt>
                <pt idx="84">
                  <v>47</v>
                </pt>
                <pt idx="85">
                  <v>39</v>
                </pt>
                <pt idx="86">
                  <v>38</v>
                </pt>
                <pt idx="87">
                  <v>27</v>
                </pt>
                <pt idx="88">
                  <v>37</v>
                </pt>
                <pt idx="89">
                  <v>53</v>
                </pt>
                <pt idx="90">
                  <v>57</v>
                </pt>
                <pt idx="91">
                  <v>48</v>
                </pt>
                <pt idx="92">
                  <v>43</v>
                </pt>
                <pt idx="93">
                  <v>42</v>
                </pt>
                <pt idx="94">
                  <v>57</v>
                </pt>
                <pt idx="95">
                  <v>66</v>
                </pt>
                <pt idx="96">
                  <v>67</v>
                </pt>
                <pt idx="97">
                  <v>61</v>
                </pt>
                <pt idx="98">
                  <v>40</v>
                </pt>
                <pt idx="99">
                  <v>18</v>
                </pt>
              </numCache>
            </numRef>
          </val>
        </ser>
        <marker val="1"/>
        <axId val="175717376"/>
        <axId val="175723648"/>
      </lineChart>
      <catAx>
        <axId val="175717376"/>
        <scaling>
          <orientation val="minMax"/>
        </scaling>
        <axPos val="b"/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sz="1600"/>
            </a:pPr>
            <a:r>
              <a:t>None</a:t>
            </a:r>
            <a:endParaRPr lang="zh-TW"/>
          </a:p>
        </txPr>
        <crossAx val="175723648"/>
        <crosses val="autoZero"/>
        <auto val="1"/>
        <lblAlgn val="ctr"/>
        <lblOffset val="100"/>
      </catAx>
      <valAx>
        <axId val="175723648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175717376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None</a:t>
            </a:r>
            <a:endParaRPr lang="en-US" altLang="zh-TW"/>
          </a:p>
        </rich>
      </tx>
      <layout/>
    </title>
    <plotArea>
      <layout>
        <manualLayout>
          <layoutTarget val="inner"/>
          <xMode val="edge"/>
          <yMode val="edge"/>
          <wMode val="factor"/>
          <hMode val="factor"/>
          <x val="0.03566540495154884"/>
          <y val="0.01601323957619766"/>
          <w val="0.9374033396170445"/>
          <h val="0.5876623470089815"/>
        </manualLayout>
      </layout>
      <lineChart>
        <grouping val="standard"/>
        <ser>
          <idx val="3"/>
          <order val="0"/>
          <tx>
            <strRef>
              <f>Sheet1!$M$1</f>
              <strCache>
                <ptCount val="1"/>
                <pt idx="0">
                  <v>其他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Sheet1!$A$2:$A$101</f>
              <strCache>
                <ptCount val="100"/>
                <pt idx="0">
                  <v>DO_20260105.xlsx</v>
                </pt>
                <pt idx="1">
                  <v>DO_20260106.xlsx</v>
                </pt>
                <pt idx="2">
                  <v>DO_20260107.xlsx</v>
                </pt>
                <pt idx="3">
                  <v>DO_20260108.xlsx</v>
                </pt>
                <pt idx="4">
                  <v>DO_20260109.xlsx</v>
                </pt>
                <pt idx="5">
                  <v>DO_20260112.xlsx</v>
                </pt>
                <pt idx="6">
                  <v>DO_20260113.xlsx</v>
                </pt>
                <pt idx="7">
                  <v>DO_20260114.xlsx</v>
                </pt>
                <pt idx="8">
                  <v>DO_20260115.xlsx</v>
                </pt>
                <pt idx="9">
                  <v>DO_20260116.xlsx</v>
                </pt>
                <pt idx="10">
                  <v>DO_20260119.xlsx</v>
                </pt>
                <pt idx="11">
                  <v>DO_20260120.xlsx</v>
                </pt>
                <pt idx="12">
                  <v>DO_20260121.xlsx</v>
                </pt>
                <pt idx="13">
                  <v>DO_20260122.xlsx</v>
                </pt>
                <pt idx="14">
                  <v>DO_20260123.xlsx</v>
                </pt>
                <pt idx="15">
                  <v>DO_20260126.xlsx</v>
                </pt>
                <pt idx="16">
                  <v>DO_20260127.xlsx</v>
                </pt>
                <pt idx="17">
                  <v>DO_20260128.xlsx</v>
                </pt>
                <pt idx="18">
                  <v>DO_20260129.xlsx</v>
                </pt>
                <pt idx="19">
                  <v>DO_20260130.xlsx</v>
                </pt>
                <pt idx="20">
                  <v>DO_20260202.xlsx</v>
                </pt>
                <pt idx="21">
                  <v>DO_20260203.xlsx</v>
                </pt>
                <pt idx="22">
                  <v>DO_20260204.xlsx</v>
                </pt>
                <pt idx="23">
                  <v>DO_20260205.xlsx</v>
                </pt>
                <pt idx="24">
                  <v>DO_20260206.xlsx</v>
                </pt>
                <pt idx="25">
                  <v>DO_20260209.xlsx</v>
                </pt>
                <pt idx="26">
                  <v>DO_20260210.xlsx</v>
                </pt>
                <pt idx="27">
                  <v>DO_20260211.xlsx</v>
                </pt>
                <pt idx="28">
                  <v>DO_20260223.xlsx</v>
                </pt>
                <pt idx="29">
                  <v>DO_20260224.xlsx</v>
                </pt>
                <pt idx="30">
                  <v>DO_20260225.xlsx</v>
                </pt>
                <pt idx="31">
                  <v>DO_20260226.xlsx</v>
                </pt>
                <pt idx="32">
                  <v>DO_20260302.xlsx</v>
                </pt>
                <pt idx="33">
                  <v>DO_20260303.xlsx</v>
                </pt>
                <pt idx="34">
                  <v>DO_20260304.xlsx</v>
                </pt>
                <pt idx="35">
                  <v>DO_20260305.xlsx</v>
                </pt>
                <pt idx="36">
                  <v>DO_20260306.xlsx</v>
                </pt>
                <pt idx="37">
                  <v>DO_20260309.xlsx</v>
                </pt>
                <pt idx="38">
                  <v>DO_20260310.xlsx</v>
                </pt>
                <pt idx="39">
                  <v>DO_20260311.xlsx</v>
                </pt>
                <pt idx="40">
                  <v>DO_20260312.xlsx</v>
                </pt>
                <pt idx="41">
                  <v>DO_20260313.xlsx</v>
                </pt>
                <pt idx="42">
                  <v>DO_20260316.xlsx</v>
                </pt>
                <pt idx="43">
                  <v>DO_20260317.xlsx</v>
                </pt>
                <pt idx="44">
                  <v>DO_20260318.xlsx</v>
                </pt>
                <pt idx="45">
                  <v>DO_20260319.xlsx</v>
                </pt>
                <pt idx="46">
                  <v>DO_20260320.xlsx</v>
                </pt>
                <pt idx="47">
                  <v>DO_20260323.xlsx</v>
                </pt>
                <pt idx="48">
                  <v>DO_20260324.xlsx</v>
                </pt>
                <pt idx="49">
                  <v>DO_20260325.xlsx</v>
                </pt>
                <pt idx="50">
                  <v>DO_20260326.xlsx</v>
                </pt>
                <pt idx="51">
                  <v>DO_20260327.xlsx</v>
                </pt>
                <pt idx="52">
                  <v>DO_20260330.xlsx</v>
                </pt>
                <pt idx="53">
                  <v>DO_20260331.xlsx</v>
                </pt>
                <pt idx="54">
                  <v>DO_20260401.xlsx</v>
                </pt>
                <pt idx="55">
                  <v>DO_20260402.xlsx</v>
                </pt>
                <pt idx="56">
                  <v>DO_20260407.xlsx</v>
                </pt>
                <pt idx="57">
                  <v>DO_20260408.xlsx</v>
                </pt>
                <pt idx="58">
                  <v>DO_20260409.xlsx</v>
                </pt>
                <pt idx="59">
                  <v>DO_20260410.xlsx</v>
                </pt>
                <pt idx="60">
                  <v>DO_20260413.xlsx</v>
                </pt>
                <pt idx="61">
                  <v>DO_20260414.xlsx</v>
                </pt>
                <pt idx="62">
                  <v>DO_20260415.xlsx</v>
                </pt>
                <pt idx="63">
                  <v>DO_20260416.xlsx</v>
                </pt>
                <pt idx="64">
                  <v>DO_20260417.xlsx</v>
                </pt>
                <pt idx="65">
                  <v>DO_20260420.xlsx</v>
                </pt>
                <pt idx="66">
                  <v>DO_20260421.xlsx</v>
                </pt>
                <pt idx="67">
                  <v>DO_20260422.xlsx</v>
                </pt>
                <pt idx="68">
                  <v>DO_20260423.xlsx</v>
                </pt>
                <pt idx="69">
                  <v>DO_20260424.xlsx</v>
                </pt>
                <pt idx="70">
                  <v>DO_20260427.xlsx</v>
                </pt>
                <pt idx="71">
                  <v>DO_20260428.xlsx</v>
                </pt>
                <pt idx="72">
                  <v>DO_20260429.xlsx</v>
                </pt>
                <pt idx="73">
                  <v>DO_20260430.xlsx</v>
                </pt>
                <pt idx="74">
                  <v>DO_20260504.xlsx</v>
                </pt>
                <pt idx="75">
                  <v>DO_20260505.xlsx</v>
                </pt>
                <pt idx="76">
                  <v>DO_20260506.xlsx</v>
                </pt>
                <pt idx="77">
                  <v>DO_20260507.xlsx</v>
                </pt>
                <pt idx="78">
                  <v>DO_20260508.xlsx</v>
                </pt>
                <pt idx="79">
                  <v>DO_20260511.xlsx</v>
                </pt>
                <pt idx="80">
                  <v>DO_20260512.xlsx</v>
                </pt>
                <pt idx="81">
                  <v>DO_20260513.xlsx</v>
                </pt>
                <pt idx="82">
                  <v>DO_20260514.xlsx</v>
                </pt>
                <pt idx="83">
                  <v>DO_20260518.xlsx</v>
                </pt>
                <pt idx="84">
                  <v>DO_20260515.xlsx</v>
                </pt>
                <pt idx="85">
                  <v>DO_20260519.xlsx</v>
                </pt>
                <pt idx="86">
                  <v>DO_20260520.xlsx</v>
                </pt>
                <pt idx="87">
                  <v>DO_20260521.xlsx</v>
                </pt>
                <pt idx="88">
                  <v>DO_20260522.xlsx</v>
                </pt>
                <pt idx="89">
                  <v>DO_20260525.xlsx</v>
                </pt>
                <pt idx="90">
                  <v>DO_20260526.xlsx</v>
                </pt>
                <pt idx="91">
                  <v>DO_20260527.xlsx</v>
                </pt>
                <pt idx="92">
                  <v>DO_20260528.xlsx</v>
                </pt>
                <pt idx="93">
                  <v>DO_20260529.xlsx</v>
                </pt>
                <pt idx="94">
                  <v>DO_20260601.xlsx</v>
                </pt>
                <pt idx="95">
                  <v>DO_20260602.xlsx</v>
                </pt>
                <pt idx="96">
                  <v>DO_20260603.xlsx</v>
                </pt>
                <pt idx="97">
                  <v>DO_20260604.xlsx</v>
                </pt>
                <pt idx="98">
                  <v>DO_20260605.xlsx</v>
                </pt>
                <pt idx="99">
                  <v>DO_20260608.xlsx</v>
                </pt>
              </strCache>
            </strRef>
          </cat>
          <val>
            <numRef>
              <f>Sheet1!$M$2:$M$101</f>
              <numCache>
                <formatCode>General</formatCode>
                <ptCount val="100"/>
                <pt idx="0">
                  <v>96</v>
                </pt>
                <pt idx="1">
                  <v>91</v>
                </pt>
                <pt idx="2">
                  <v>92</v>
                </pt>
                <pt idx="3">
                  <v>89</v>
                </pt>
                <pt idx="4">
                  <v>98</v>
                </pt>
                <pt idx="5">
                  <v>94</v>
                </pt>
                <pt idx="6">
                  <v>81</v>
                </pt>
                <pt idx="7">
                  <v>46</v>
                </pt>
                <pt idx="8">
                  <v>78</v>
                </pt>
                <pt idx="9">
                  <v>66</v>
                </pt>
                <pt idx="10">
                  <v>58</v>
                </pt>
                <pt idx="11">
                  <v>65</v>
                </pt>
                <pt idx="12">
                  <v>68</v>
                </pt>
                <pt idx="13">
                  <v>69</v>
                </pt>
                <pt idx="14">
                  <v>75</v>
                </pt>
                <pt idx="15">
                  <v>84</v>
                </pt>
                <pt idx="16">
                  <v>86</v>
                </pt>
                <pt idx="17">
                  <v>80</v>
                </pt>
                <pt idx="18">
                  <v>79</v>
                </pt>
                <pt idx="19">
                  <v>82</v>
                </pt>
                <pt idx="20">
                  <v>77</v>
                </pt>
                <pt idx="21">
                  <v>83</v>
                </pt>
                <pt idx="22">
                  <v>88</v>
                </pt>
                <pt idx="23">
                  <v>97</v>
                </pt>
                <pt idx="24">
                  <v>108</v>
                </pt>
                <pt idx="25">
                  <v>100</v>
                </pt>
                <pt idx="26">
                  <v>93</v>
                </pt>
                <pt idx="27">
                  <v>95</v>
                </pt>
                <pt idx="28">
                  <v>98</v>
                </pt>
                <pt idx="29">
                  <v>93</v>
                </pt>
                <pt idx="30">
                  <v>81</v>
                </pt>
                <pt idx="31">
                  <v>68</v>
                </pt>
                <pt idx="32">
                  <v>68</v>
                </pt>
                <pt idx="33">
                  <v>81</v>
                </pt>
                <pt idx="34">
                  <v>91</v>
                </pt>
                <pt idx="35">
                  <v>92</v>
                </pt>
                <pt idx="36">
                  <v>93</v>
                </pt>
                <pt idx="37">
                  <v>92</v>
                </pt>
                <pt idx="38">
                  <v>90</v>
                </pt>
                <pt idx="39">
                  <v>88</v>
                </pt>
                <pt idx="40">
                  <v>97</v>
                </pt>
                <pt idx="41">
                  <v>91</v>
                </pt>
                <pt idx="42">
                  <v>93</v>
                </pt>
                <pt idx="43">
                  <v>102</v>
                </pt>
                <pt idx="44">
                  <v>92</v>
                </pt>
                <pt idx="45">
                  <v>93</v>
                </pt>
                <pt idx="46">
                  <v>91</v>
                </pt>
                <pt idx="47">
                  <v>77</v>
                </pt>
                <pt idx="48">
                  <v>72</v>
                </pt>
                <pt idx="49">
                  <v>70</v>
                </pt>
                <pt idx="50">
                  <v>90</v>
                </pt>
                <pt idx="51">
                  <v>87</v>
                </pt>
                <pt idx="52">
                  <v>73</v>
                </pt>
                <pt idx="53">
                  <v>75</v>
                </pt>
                <pt idx="54">
                  <v>79</v>
                </pt>
                <pt idx="55">
                  <v>100</v>
                </pt>
                <pt idx="56">
                  <v>94</v>
                </pt>
                <pt idx="57">
                  <v>102</v>
                </pt>
                <pt idx="58">
                  <v>96</v>
                </pt>
                <pt idx="59">
                  <v>96</v>
                </pt>
                <pt idx="60">
                  <v>93</v>
                </pt>
                <pt idx="61">
                  <v>92</v>
                </pt>
                <pt idx="62">
                  <v>87</v>
                </pt>
                <pt idx="63">
                  <v>70</v>
                </pt>
                <pt idx="64">
                  <v>54</v>
                </pt>
                <pt idx="65">
                  <v>58</v>
                </pt>
                <pt idx="66">
                  <v>60</v>
                </pt>
                <pt idx="67">
                  <v>66</v>
                </pt>
                <pt idx="68">
                  <v>66</v>
                </pt>
                <pt idx="69">
                  <v>101</v>
                </pt>
                <pt idx="70">
                  <v>102</v>
                </pt>
                <pt idx="71">
                  <v>106</v>
                </pt>
                <pt idx="72">
                  <v>112</v>
                </pt>
                <pt idx="73">
                  <v>108</v>
                </pt>
                <pt idx="74">
                  <v>95</v>
                </pt>
                <pt idx="75">
                  <v>84</v>
                </pt>
                <pt idx="76">
                  <v>82</v>
                </pt>
                <pt idx="77">
                  <v>86</v>
                </pt>
                <pt idx="78">
                  <v>84</v>
                </pt>
                <pt idx="79">
                  <v>74</v>
                </pt>
                <pt idx="80">
                  <v>67</v>
                </pt>
                <pt idx="81">
                  <v>78</v>
                </pt>
                <pt idx="82">
                  <v>85</v>
                </pt>
                <pt idx="83">
                  <v>88</v>
                </pt>
                <pt idx="84">
                  <v>88</v>
                </pt>
                <pt idx="85">
                  <v>84</v>
                </pt>
                <pt idx="86">
                  <v>94</v>
                </pt>
                <pt idx="87">
                  <v>100</v>
                </pt>
                <pt idx="88">
                  <v>107</v>
                </pt>
                <pt idx="89">
                  <v>92</v>
                </pt>
                <pt idx="90">
                  <v>81</v>
                </pt>
                <pt idx="91">
                  <v>86</v>
                </pt>
                <pt idx="92">
                  <v>87</v>
                </pt>
                <pt idx="93">
                  <v>90</v>
                </pt>
                <pt idx="94">
                  <v>83</v>
                </pt>
                <pt idx="95">
                  <v>72</v>
                </pt>
                <pt idx="96">
                  <v>71</v>
                </pt>
                <pt idx="97">
                  <v>66</v>
                </pt>
                <pt idx="98">
                  <v>82</v>
                </pt>
                <pt idx="99">
                  <v>108</v>
                </pt>
              </numCache>
            </numRef>
          </val>
        </ser>
        <marker val="1"/>
        <axId val="175759360"/>
        <axId val="175761280"/>
      </lineChart>
      <catAx>
        <axId val="175759360"/>
        <scaling>
          <orientation val="minMax"/>
        </scaling>
        <axPos val="b"/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sz="1600"/>
            </a:pPr>
            <a:r>
              <a:t>None</a:t>
            </a:r>
            <a:endParaRPr lang="zh-TW"/>
          </a:p>
        </txPr>
        <crossAx val="175761280"/>
        <crosses val="autoZero"/>
        <auto val="1"/>
        <lblAlgn val="ctr"/>
        <lblOffset val="100"/>
      </catAx>
      <valAx>
        <axId val="175761280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175759360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385345081496725"/>
          <y val="0.02377079754581044"/>
          <w val="0.9374033396170445"/>
          <h val="0.5876623470089815"/>
        </manualLayout>
      </layout>
      <lineChart>
        <grouping val="standard"/>
        <ser>
          <idx val="0"/>
          <order val="0"/>
          <tx>
            <strRef>
              <f>Sheet1!$I$1</f>
              <strCache>
                <ptCount val="1"/>
                <pt idx="0">
                  <v>多</v>
                </pt>
              </strCache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Sheet1!$A$2:$A$101</f>
              <strCache>
                <ptCount val="100"/>
                <pt idx="0">
                  <v>DO_20260105.xlsx</v>
                </pt>
                <pt idx="1">
                  <v>DO_20260106.xlsx</v>
                </pt>
                <pt idx="2">
                  <v>DO_20260107.xlsx</v>
                </pt>
                <pt idx="3">
                  <v>DO_20260108.xlsx</v>
                </pt>
                <pt idx="4">
                  <v>DO_20260109.xlsx</v>
                </pt>
                <pt idx="5">
                  <v>DO_20260112.xlsx</v>
                </pt>
                <pt idx="6">
                  <v>DO_20260113.xlsx</v>
                </pt>
                <pt idx="7">
                  <v>DO_20260114.xlsx</v>
                </pt>
                <pt idx="8">
                  <v>DO_20260115.xlsx</v>
                </pt>
                <pt idx="9">
                  <v>DO_20260116.xlsx</v>
                </pt>
                <pt idx="10">
                  <v>DO_20260119.xlsx</v>
                </pt>
                <pt idx="11">
                  <v>DO_20260120.xlsx</v>
                </pt>
                <pt idx="12">
                  <v>DO_20260121.xlsx</v>
                </pt>
                <pt idx="13">
                  <v>DO_20260122.xlsx</v>
                </pt>
                <pt idx="14">
                  <v>DO_20260123.xlsx</v>
                </pt>
                <pt idx="15">
                  <v>DO_20260126.xlsx</v>
                </pt>
                <pt idx="16">
                  <v>DO_20260127.xlsx</v>
                </pt>
                <pt idx="17">
                  <v>DO_20260128.xlsx</v>
                </pt>
                <pt idx="18">
                  <v>DO_20260129.xlsx</v>
                </pt>
                <pt idx="19">
                  <v>DO_20260130.xlsx</v>
                </pt>
                <pt idx="20">
                  <v>DO_20260202.xlsx</v>
                </pt>
                <pt idx="21">
                  <v>DO_20260203.xlsx</v>
                </pt>
                <pt idx="22">
                  <v>DO_20260204.xlsx</v>
                </pt>
                <pt idx="23">
                  <v>DO_20260205.xlsx</v>
                </pt>
                <pt idx="24">
                  <v>DO_20260206.xlsx</v>
                </pt>
                <pt idx="25">
                  <v>DO_20260209.xlsx</v>
                </pt>
                <pt idx="26">
                  <v>DO_20260210.xlsx</v>
                </pt>
                <pt idx="27">
                  <v>DO_20260211.xlsx</v>
                </pt>
                <pt idx="28">
                  <v>DO_20260223.xlsx</v>
                </pt>
                <pt idx="29">
                  <v>DO_20260224.xlsx</v>
                </pt>
                <pt idx="30">
                  <v>DO_20260225.xlsx</v>
                </pt>
                <pt idx="31">
                  <v>DO_20260226.xlsx</v>
                </pt>
                <pt idx="32">
                  <v>DO_20260302.xlsx</v>
                </pt>
                <pt idx="33">
                  <v>DO_20260303.xlsx</v>
                </pt>
                <pt idx="34">
                  <v>DO_20260304.xlsx</v>
                </pt>
                <pt idx="35">
                  <v>DO_20260305.xlsx</v>
                </pt>
                <pt idx="36">
                  <v>DO_20260306.xlsx</v>
                </pt>
                <pt idx="37">
                  <v>DO_20260309.xlsx</v>
                </pt>
                <pt idx="38">
                  <v>DO_20260310.xlsx</v>
                </pt>
                <pt idx="39">
                  <v>DO_20260311.xlsx</v>
                </pt>
                <pt idx="40">
                  <v>DO_20260312.xlsx</v>
                </pt>
                <pt idx="41">
                  <v>DO_20260313.xlsx</v>
                </pt>
                <pt idx="42">
                  <v>DO_20260316.xlsx</v>
                </pt>
                <pt idx="43">
                  <v>DO_20260317.xlsx</v>
                </pt>
                <pt idx="44">
                  <v>DO_20260318.xlsx</v>
                </pt>
                <pt idx="45">
                  <v>DO_20260319.xlsx</v>
                </pt>
                <pt idx="46">
                  <v>DO_20260320.xlsx</v>
                </pt>
                <pt idx="47">
                  <v>DO_20260323.xlsx</v>
                </pt>
                <pt idx="48">
                  <v>DO_20260324.xlsx</v>
                </pt>
                <pt idx="49">
                  <v>DO_20260325.xlsx</v>
                </pt>
                <pt idx="50">
                  <v>DO_20260326.xlsx</v>
                </pt>
                <pt idx="51">
                  <v>DO_20260327.xlsx</v>
                </pt>
                <pt idx="52">
                  <v>DO_20260330.xlsx</v>
                </pt>
                <pt idx="53">
                  <v>DO_20260331.xlsx</v>
                </pt>
                <pt idx="54">
                  <v>DO_20260401.xlsx</v>
                </pt>
                <pt idx="55">
                  <v>DO_20260402.xlsx</v>
                </pt>
                <pt idx="56">
                  <v>DO_20260407.xlsx</v>
                </pt>
                <pt idx="57">
                  <v>DO_20260408.xlsx</v>
                </pt>
                <pt idx="58">
                  <v>DO_20260409.xlsx</v>
                </pt>
                <pt idx="59">
                  <v>DO_20260410.xlsx</v>
                </pt>
                <pt idx="60">
                  <v>DO_20260413.xlsx</v>
                </pt>
                <pt idx="61">
                  <v>DO_20260414.xlsx</v>
                </pt>
                <pt idx="62">
                  <v>DO_20260415.xlsx</v>
                </pt>
                <pt idx="63">
                  <v>DO_20260416.xlsx</v>
                </pt>
                <pt idx="64">
                  <v>DO_20260417.xlsx</v>
                </pt>
                <pt idx="65">
                  <v>DO_20260420.xlsx</v>
                </pt>
                <pt idx="66">
                  <v>DO_20260421.xlsx</v>
                </pt>
                <pt idx="67">
                  <v>DO_20260422.xlsx</v>
                </pt>
                <pt idx="68">
                  <v>DO_20260423.xlsx</v>
                </pt>
                <pt idx="69">
                  <v>DO_20260424.xlsx</v>
                </pt>
                <pt idx="70">
                  <v>DO_20260427.xlsx</v>
                </pt>
                <pt idx="71">
                  <v>DO_20260428.xlsx</v>
                </pt>
                <pt idx="72">
                  <v>DO_20260429.xlsx</v>
                </pt>
                <pt idx="73">
                  <v>DO_20260430.xlsx</v>
                </pt>
                <pt idx="74">
                  <v>DO_20260504.xlsx</v>
                </pt>
                <pt idx="75">
                  <v>DO_20260505.xlsx</v>
                </pt>
                <pt idx="76">
                  <v>DO_20260506.xlsx</v>
                </pt>
                <pt idx="77">
                  <v>DO_20260507.xlsx</v>
                </pt>
                <pt idx="78">
                  <v>DO_20260508.xlsx</v>
                </pt>
                <pt idx="79">
                  <v>DO_20260511.xlsx</v>
                </pt>
                <pt idx="80">
                  <v>DO_20260512.xlsx</v>
                </pt>
                <pt idx="81">
                  <v>DO_20260513.xlsx</v>
                </pt>
                <pt idx="82">
                  <v>DO_20260514.xlsx</v>
                </pt>
                <pt idx="83">
                  <v>DO_20260518.xlsx</v>
                </pt>
                <pt idx="84">
                  <v>DO_20260515.xlsx</v>
                </pt>
                <pt idx="85">
                  <v>DO_20260519.xlsx</v>
                </pt>
                <pt idx="86">
                  <v>DO_20260520.xlsx</v>
                </pt>
                <pt idx="87">
                  <v>DO_20260521.xlsx</v>
                </pt>
                <pt idx="88">
                  <v>DO_20260522.xlsx</v>
                </pt>
                <pt idx="89">
                  <v>DO_20260525.xlsx</v>
                </pt>
                <pt idx="90">
                  <v>DO_20260526.xlsx</v>
                </pt>
                <pt idx="91">
                  <v>DO_20260527.xlsx</v>
                </pt>
                <pt idx="92">
                  <v>DO_20260528.xlsx</v>
                </pt>
                <pt idx="93">
                  <v>DO_20260529.xlsx</v>
                </pt>
                <pt idx="94">
                  <v>DO_20260601.xlsx</v>
                </pt>
                <pt idx="95">
                  <v>DO_20260602.xlsx</v>
                </pt>
                <pt idx="96">
                  <v>DO_20260603.xlsx</v>
                </pt>
                <pt idx="97">
                  <v>DO_20260604.xlsx</v>
                </pt>
                <pt idx="98">
                  <v>DO_20260605.xlsx</v>
                </pt>
                <pt idx="99">
                  <v>DO_20260608.xlsx</v>
                </pt>
              </strCache>
            </strRef>
          </cat>
          <val>
            <numRef>
              <f>Sheet1!$I$2:$I$101</f>
              <numCache>
                <formatCode>General</formatCode>
                <ptCount val="100"/>
                <pt idx="0">
                  <v>28</v>
                </pt>
                <pt idx="1">
                  <v>34</v>
                </pt>
                <pt idx="2">
                  <v>34</v>
                </pt>
                <pt idx="3">
                  <v>29</v>
                </pt>
                <pt idx="4">
                  <v>20</v>
                </pt>
                <pt idx="5">
                  <v>37</v>
                </pt>
                <pt idx="6">
                  <v>35</v>
                </pt>
                <pt idx="7">
                  <v>78</v>
                </pt>
                <pt idx="8">
                  <v>52</v>
                </pt>
                <pt idx="9">
                  <v>53</v>
                </pt>
                <pt idx="10">
                  <v>52</v>
                </pt>
                <pt idx="11">
                  <v>44</v>
                </pt>
                <pt idx="12">
                  <v>26</v>
                </pt>
                <pt idx="13">
                  <v>27</v>
                </pt>
                <pt idx="14">
                  <v>30</v>
                </pt>
                <pt idx="15">
                  <v>28</v>
                </pt>
                <pt idx="16">
                  <v>33</v>
                </pt>
                <pt idx="17">
                  <v>39</v>
                </pt>
                <pt idx="18">
                  <v>27</v>
                </pt>
                <pt idx="19">
                  <v>21</v>
                </pt>
                <pt idx="20">
                  <v>12</v>
                </pt>
                <pt idx="21">
                  <v>18</v>
                </pt>
                <pt idx="22">
                  <v>23</v>
                </pt>
                <pt idx="23">
                  <v>12</v>
                </pt>
                <pt idx="24">
                  <v>6</v>
                </pt>
                <pt idx="25">
                  <v>13</v>
                </pt>
                <pt idx="26">
                  <v>22</v>
                </pt>
                <pt idx="27">
                  <v>27</v>
                </pt>
                <pt idx="28">
                  <v>32</v>
                </pt>
                <pt idx="29">
                  <v>41</v>
                </pt>
                <pt idx="30">
                  <v>58</v>
                </pt>
                <pt idx="31">
                  <v>61</v>
                </pt>
                <pt idx="32">
                  <v>47</v>
                </pt>
                <pt idx="33">
                  <v>22</v>
                </pt>
                <pt idx="34">
                  <v>7</v>
                </pt>
                <pt idx="35">
                  <v>11</v>
                </pt>
                <pt idx="36">
                  <v>13</v>
                </pt>
                <pt idx="37">
                  <v>7</v>
                </pt>
                <pt idx="38">
                  <v>5</v>
                </pt>
                <pt idx="39">
                  <v>14</v>
                </pt>
                <pt idx="40">
                  <v>19</v>
                </pt>
                <pt idx="41">
                  <v>17</v>
                </pt>
                <pt idx="42">
                  <v>11</v>
                </pt>
                <pt idx="43">
                  <v>21</v>
                </pt>
                <pt idx="44">
                  <v>31</v>
                </pt>
                <pt idx="45">
                  <v>23</v>
                </pt>
                <pt idx="46">
                  <v>20</v>
                </pt>
                <pt idx="47">
                  <v>6</v>
                </pt>
                <pt idx="48">
                  <v>4</v>
                </pt>
                <pt idx="49">
                  <v>14</v>
                </pt>
                <pt idx="50">
                  <v>14</v>
                </pt>
                <pt idx="51">
                  <v>19</v>
                </pt>
                <pt idx="52">
                  <v>14</v>
                </pt>
                <pt idx="53">
                  <v>3</v>
                </pt>
                <pt idx="54">
                  <v>10</v>
                </pt>
                <pt idx="55">
                  <v>13</v>
                </pt>
                <pt idx="56">
                  <v>16</v>
                </pt>
                <pt idx="57">
                  <v>27</v>
                </pt>
                <pt idx="58">
                  <v>42</v>
                </pt>
                <pt idx="59">
                  <v>43</v>
                </pt>
                <pt idx="60">
                  <v>39</v>
                </pt>
                <pt idx="61">
                  <v>44</v>
                </pt>
                <pt idx="62">
                  <v>48</v>
                </pt>
                <pt idx="63">
                  <v>75</v>
                </pt>
                <pt idx="64">
                  <v>77</v>
                </pt>
                <pt idx="65">
                  <v>70</v>
                </pt>
                <pt idx="66">
                  <v>67</v>
                </pt>
                <pt idx="67">
                  <v>67</v>
                </pt>
                <pt idx="68">
                  <v>25</v>
                </pt>
                <pt idx="69">
                  <v>21</v>
                </pt>
                <pt idx="70">
                  <v>18</v>
                </pt>
                <pt idx="71">
                  <v>15</v>
                </pt>
                <pt idx="72">
                  <v>14</v>
                </pt>
                <pt idx="73">
                  <v>13</v>
                </pt>
                <pt idx="74">
                  <v>27</v>
                </pt>
                <pt idx="75">
                  <v>35</v>
                </pt>
                <pt idx="76">
                  <v>40</v>
                </pt>
                <pt idx="77">
                  <v>47</v>
                </pt>
                <pt idx="78">
                  <v>44</v>
                </pt>
                <pt idx="79">
                  <v>57</v>
                </pt>
                <pt idx="80">
                  <v>43</v>
                </pt>
                <pt idx="81">
                  <v>28</v>
                </pt>
                <pt idx="82">
                  <v>28</v>
                </pt>
                <pt idx="83">
                  <v>11</v>
                </pt>
                <pt idx="84">
                  <v>14</v>
                </pt>
                <pt idx="85">
                  <v>12</v>
                </pt>
                <pt idx="86">
                  <v>6</v>
                </pt>
                <pt idx="87">
                  <v>17</v>
                </pt>
                <pt idx="88">
                  <v>24</v>
                </pt>
                <pt idx="89">
                  <v>41</v>
                </pt>
                <pt idx="90">
                  <v>45</v>
                </pt>
                <pt idx="91">
                  <v>37</v>
                </pt>
                <pt idx="92">
                  <v>25</v>
                </pt>
                <pt idx="93">
                  <v>34</v>
                </pt>
                <pt idx="94">
                  <v>51</v>
                </pt>
                <pt idx="95">
                  <v>57</v>
                </pt>
                <pt idx="96">
                  <v>63</v>
                </pt>
                <pt idx="97">
                  <v>54</v>
                </pt>
                <pt idx="98">
                  <v>33</v>
                </pt>
                <pt idx="99">
                  <v>9</v>
                </pt>
              </numCache>
            </numRef>
          </val>
        </ser>
        <ser>
          <idx val="1"/>
          <order val="1"/>
          <tx>
            <strRef>
              <f>Sheet1!$K$1</f>
              <strCache>
                <ptCount val="1"/>
                <pt idx="0">
                  <v>空</v>
                </pt>
              </strCache>
            </strRef>
          </tx>
          <spPr>
            <a:ln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Sheet1!$A$2:$A$101</f>
              <strCache>
                <ptCount val="100"/>
                <pt idx="0">
                  <v>DO_20260105.xlsx</v>
                </pt>
                <pt idx="1">
                  <v>DO_20260106.xlsx</v>
                </pt>
                <pt idx="2">
                  <v>DO_20260107.xlsx</v>
                </pt>
                <pt idx="3">
                  <v>DO_20260108.xlsx</v>
                </pt>
                <pt idx="4">
                  <v>DO_20260109.xlsx</v>
                </pt>
                <pt idx="5">
                  <v>DO_20260112.xlsx</v>
                </pt>
                <pt idx="6">
                  <v>DO_20260113.xlsx</v>
                </pt>
                <pt idx="7">
                  <v>DO_20260114.xlsx</v>
                </pt>
                <pt idx="8">
                  <v>DO_20260115.xlsx</v>
                </pt>
                <pt idx="9">
                  <v>DO_20260116.xlsx</v>
                </pt>
                <pt idx="10">
                  <v>DO_20260119.xlsx</v>
                </pt>
                <pt idx="11">
                  <v>DO_20260120.xlsx</v>
                </pt>
                <pt idx="12">
                  <v>DO_20260121.xlsx</v>
                </pt>
                <pt idx="13">
                  <v>DO_20260122.xlsx</v>
                </pt>
                <pt idx="14">
                  <v>DO_20260123.xlsx</v>
                </pt>
                <pt idx="15">
                  <v>DO_20260126.xlsx</v>
                </pt>
                <pt idx="16">
                  <v>DO_20260127.xlsx</v>
                </pt>
                <pt idx="17">
                  <v>DO_20260128.xlsx</v>
                </pt>
                <pt idx="18">
                  <v>DO_20260129.xlsx</v>
                </pt>
                <pt idx="19">
                  <v>DO_20260130.xlsx</v>
                </pt>
                <pt idx="20">
                  <v>DO_20260202.xlsx</v>
                </pt>
                <pt idx="21">
                  <v>DO_20260203.xlsx</v>
                </pt>
                <pt idx="22">
                  <v>DO_20260204.xlsx</v>
                </pt>
                <pt idx="23">
                  <v>DO_20260205.xlsx</v>
                </pt>
                <pt idx="24">
                  <v>DO_20260206.xlsx</v>
                </pt>
                <pt idx="25">
                  <v>DO_20260209.xlsx</v>
                </pt>
                <pt idx="26">
                  <v>DO_20260210.xlsx</v>
                </pt>
                <pt idx="27">
                  <v>DO_20260211.xlsx</v>
                </pt>
                <pt idx="28">
                  <v>DO_20260223.xlsx</v>
                </pt>
                <pt idx="29">
                  <v>DO_20260224.xlsx</v>
                </pt>
                <pt idx="30">
                  <v>DO_20260225.xlsx</v>
                </pt>
                <pt idx="31">
                  <v>DO_20260226.xlsx</v>
                </pt>
                <pt idx="32">
                  <v>DO_20260302.xlsx</v>
                </pt>
                <pt idx="33">
                  <v>DO_20260303.xlsx</v>
                </pt>
                <pt idx="34">
                  <v>DO_20260304.xlsx</v>
                </pt>
                <pt idx="35">
                  <v>DO_20260305.xlsx</v>
                </pt>
                <pt idx="36">
                  <v>DO_20260306.xlsx</v>
                </pt>
                <pt idx="37">
                  <v>DO_20260309.xlsx</v>
                </pt>
                <pt idx="38">
                  <v>DO_20260310.xlsx</v>
                </pt>
                <pt idx="39">
                  <v>DO_20260311.xlsx</v>
                </pt>
                <pt idx="40">
                  <v>DO_20260312.xlsx</v>
                </pt>
                <pt idx="41">
                  <v>DO_20260313.xlsx</v>
                </pt>
                <pt idx="42">
                  <v>DO_20260316.xlsx</v>
                </pt>
                <pt idx="43">
                  <v>DO_20260317.xlsx</v>
                </pt>
                <pt idx="44">
                  <v>DO_20260318.xlsx</v>
                </pt>
                <pt idx="45">
                  <v>DO_20260319.xlsx</v>
                </pt>
                <pt idx="46">
                  <v>DO_20260320.xlsx</v>
                </pt>
                <pt idx="47">
                  <v>DO_20260323.xlsx</v>
                </pt>
                <pt idx="48">
                  <v>DO_20260324.xlsx</v>
                </pt>
                <pt idx="49">
                  <v>DO_20260325.xlsx</v>
                </pt>
                <pt idx="50">
                  <v>DO_20260326.xlsx</v>
                </pt>
                <pt idx="51">
                  <v>DO_20260327.xlsx</v>
                </pt>
                <pt idx="52">
                  <v>DO_20260330.xlsx</v>
                </pt>
                <pt idx="53">
                  <v>DO_20260331.xlsx</v>
                </pt>
                <pt idx="54">
                  <v>DO_20260401.xlsx</v>
                </pt>
                <pt idx="55">
                  <v>DO_20260402.xlsx</v>
                </pt>
                <pt idx="56">
                  <v>DO_20260407.xlsx</v>
                </pt>
                <pt idx="57">
                  <v>DO_20260408.xlsx</v>
                </pt>
                <pt idx="58">
                  <v>DO_20260409.xlsx</v>
                </pt>
                <pt idx="59">
                  <v>DO_20260410.xlsx</v>
                </pt>
                <pt idx="60">
                  <v>DO_20260413.xlsx</v>
                </pt>
                <pt idx="61">
                  <v>DO_20260414.xlsx</v>
                </pt>
                <pt idx="62">
                  <v>DO_20260415.xlsx</v>
                </pt>
                <pt idx="63">
                  <v>DO_20260416.xlsx</v>
                </pt>
                <pt idx="64">
                  <v>DO_20260417.xlsx</v>
                </pt>
                <pt idx="65">
                  <v>DO_20260420.xlsx</v>
                </pt>
                <pt idx="66">
                  <v>DO_20260421.xlsx</v>
                </pt>
                <pt idx="67">
                  <v>DO_20260422.xlsx</v>
                </pt>
                <pt idx="68">
                  <v>DO_20260423.xlsx</v>
                </pt>
                <pt idx="69">
                  <v>DO_20260424.xlsx</v>
                </pt>
                <pt idx="70">
                  <v>DO_20260427.xlsx</v>
                </pt>
                <pt idx="71">
                  <v>DO_20260428.xlsx</v>
                </pt>
                <pt idx="72">
                  <v>DO_20260429.xlsx</v>
                </pt>
                <pt idx="73">
                  <v>DO_20260430.xlsx</v>
                </pt>
                <pt idx="74">
                  <v>DO_20260504.xlsx</v>
                </pt>
                <pt idx="75">
                  <v>DO_20260505.xlsx</v>
                </pt>
                <pt idx="76">
                  <v>DO_20260506.xlsx</v>
                </pt>
                <pt idx="77">
                  <v>DO_20260507.xlsx</v>
                </pt>
                <pt idx="78">
                  <v>DO_20260508.xlsx</v>
                </pt>
                <pt idx="79">
                  <v>DO_20260511.xlsx</v>
                </pt>
                <pt idx="80">
                  <v>DO_20260512.xlsx</v>
                </pt>
                <pt idx="81">
                  <v>DO_20260513.xlsx</v>
                </pt>
                <pt idx="82">
                  <v>DO_20260514.xlsx</v>
                </pt>
                <pt idx="83">
                  <v>DO_20260518.xlsx</v>
                </pt>
                <pt idx="84">
                  <v>DO_20260515.xlsx</v>
                </pt>
                <pt idx="85">
                  <v>DO_20260519.xlsx</v>
                </pt>
                <pt idx="86">
                  <v>DO_20260520.xlsx</v>
                </pt>
                <pt idx="87">
                  <v>DO_20260521.xlsx</v>
                </pt>
                <pt idx="88">
                  <v>DO_20260522.xlsx</v>
                </pt>
                <pt idx="89">
                  <v>DO_20260525.xlsx</v>
                </pt>
                <pt idx="90">
                  <v>DO_20260526.xlsx</v>
                </pt>
                <pt idx="91">
                  <v>DO_20260527.xlsx</v>
                </pt>
                <pt idx="92">
                  <v>DO_20260528.xlsx</v>
                </pt>
                <pt idx="93">
                  <v>DO_20260529.xlsx</v>
                </pt>
                <pt idx="94">
                  <v>DO_20260601.xlsx</v>
                </pt>
                <pt idx="95">
                  <v>DO_20260602.xlsx</v>
                </pt>
                <pt idx="96">
                  <v>DO_20260603.xlsx</v>
                </pt>
                <pt idx="97">
                  <v>DO_20260604.xlsx</v>
                </pt>
                <pt idx="98">
                  <v>DO_20260605.xlsx</v>
                </pt>
                <pt idx="99">
                  <v>DO_20260608.xlsx</v>
                </pt>
              </strCache>
            </strRef>
          </cat>
          <val>
            <numRef>
              <f>Sheet1!$K$2:$K$101</f>
              <numCache>
                <formatCode>General</formatCode>
                <ptCount val="100"/>
                <pt idx="0">
                  <v>19</v>
                </pt>
                <pt idx="1">
                  <v>17</v>
                </pt>
                <pt idx="2">
                  <v>11</v>
                </pt>
                <pt idx="3">
                  <v>14</v>
                </pt>
                <pt idx="4">
                  <v>8</v>
                </pt>
                <pt idx="5">
                  <v>13</v>
                </pt>
                <pt idx="6">
                  <v>15</v>
                </pt>
                <pt idx="7">
                  <v>10</v>
                </pt>
                <pt idx="8">
                  <v>12</v>
                </pt>
                <pt idx="9">
                  <v>18</v>
                </pt>
                <pt idx="10">
                  <v>21</v>
                </pt>
                <pt idx="11">
                  <v>22</v>
                </pt>
                <pt idx="12">
                  <v>36</v>
                </pt>
                <pt idx="13">
                  <v>29</v>
                </pt>
                <pt idx="14">
                  <v>24</v>
                </pt>
                <pt idx="15">
                  <v>17</v>
                </pt>
                <pt idx="16">
                  <v>19</v>
                </pt>
                <pt idx="17">
                  <v>16</v>
                </pt>
                <pt idx="18">
                  <v>20</v>
                </pt>
                <pt idx="19">
                  <v>33</v>
                </pt>
                <pt idx="20">
                  <v>41</v>
                </pt>
                <pt idx="21">
                  <v>33</v>
                </pt>
                <pt idx="22">
                  <v>21</v>
                </pt>
                <pt idx="23">
                  <v>18</v>
                </pt>
                <pt idx="24">
                  <v>24</v>
                </pt>
                <pt idx="25">
                  <v>26</v>
                </pt>
                <pt idx="26">
                  <v>22</v>
                </pt>
                <pt idx="27">
                  <v>11</v>
                </pt>
                <pt idx="28">
                  <v>8</v>
                </pt>
                <pt idx="29">
                  <v>6</v>
                </pt>
                <pt idx="30">
                  <v>8</v>
                </pt>
                <pt idx="31">
                  <v>8</v>
                </pt>
                <pt idx="32">
                  <v>10</v>
                </pt>
                <pt idx="33">
                  <v>18</v>
                </pt>
                <pt idx="34">
                  <v>36</v>
                </pt>
                <pt idx="35">
                  <v>37</v>
                </pt>
                <pt idx="36">
                  <v>29</v>
                </pt>
                <pt idx="37">
                  <v>42</v>
                </pt>
                <pt idx="38">
                  <v>47</v>
                </pt>
                <pt idx="39">
                  <v>21</v>
                </pt>
                <pt idx="40">
                  <v>28</v>
                </pt>
                <pt idx="41">
                  <v>31</v>
                </pt>
                <pt idx="42">
                  <v>25</v>
                </pt>
                <pt idx="43">
                  <v>21</v>
                </pt>
                <pt idx="44">
                  <v>13</v>
                </pt>
                <pt idx="45">
                  <v>20</v>
                </pt>
                <pt idx="46">
                  <v>26</v>
                </pt>
                <pt idx="47">
                  <v>51</v>
                </pt>
                <pt idx="48">
                  <v>59</v>
                </pt>
                <pt idx="49">
                  <v>24</v>
                </pt>
                <pt idx="50">
                  <v>34</v>
                </pt>
                <pt idx="51">
                  <v>31</v>
                </pt>
                <pt idx="52">
                  <v>50</v>
                </pt>
                <pt idx="53">
                  <v>57</v>
                </pt>
                <pt idx="54">
                  <v>27</v>
                </pt>
                <pt idx="55">
                  <v>32</v>
                </pt>
                <pt idx="56">
                  <v>21</v>
                </pt>
                <pt idx="57">
                  <v>4</v>
                </pt>
                <pt idx="58">
                  <v>7</v>
                </pt>
                <pt idx="59">
                  <v>2</v>
                </pt>
                <pt idx="60">
                  <v>4</v>
                </pt>
                <pt idx="61">
                  <v>5</v>
                </pt>
                <pt idx="62">
                  <v>3</v>
                </pt>
                <pt idx="63">
                  <v>2</v>
                </pt>
                <pt idx="64">
                  <v>5</v>
                </pt>
                <pt idx="65">
                  <v>8</v>
                </pt>
                <pt idx="66">
                  <v>6</v>
                </pt>
                <pt idx="67">
                  <v>10</v>
                </pt>
                <pt idx="68">
                  <v>13</v>
                </pt>
                <pt idx="69">
                  <v>15</v>
                </pt>
                <pt idx="70">
                  <v>19</v>
                </pt>
                <pt idx="71">
                  <v>14</v>
                </pt>
                <pt idx="72">
                  <v>7</v>
                </pt>
                <pt idx="73">
                  <v>20</v>
                </pt>
                <pt idx="74">
                  <v>21</v>
                </pt>
                <pt idx="75">
                  <v>19</v>
                </pt>
                <pt idx="76">
                  <v>11</v>
                </pt>
                <pt idx="77">
                  <v>6</v>
                </pt>
                <pt idx="78">
                  <v>8</v>
                </pt>
                <pt idx="79">
                  <v>11</v>
                </pt>
                <pt idx="80">
                  <v>19</v>
                </pt>
                <pt idx="81">
                  <v>21</v>
                </pt>
                <pt idx="82">
                  <v>25</v>
                </pt>
                <pt idx="83">
                  <v>38</v>
                </pt>
                <pt idx="84">
                  <v>33</v>
                </pt>
                <pt idx="85">
                  <v>27</v>
                </pt>
                <pt idx="86">
                  <v>32</v>
                </pt>
                <pt idx="87">
                  <v>10</v>
                </pt>
                <pt idx="88">
                  <v>13</v>
                </pt>
                <pt idx="89">
                  <v>12</v>
                </pt>
                <pt idx="90">
                  <v>12</v>
                </pt>
                <pt idx="91">
                  <v>11</v>
                </pt>
                <pt idx="92">
                  <v>18</v>
                </pt>
                <pt idx="93">
                  <v>8</v>
                </pt>
                <pt idx="94">
                  <v>6</v>
                </pt>
                <pt idx="95">
                  <v>9</v>
                </pt>
                <pt idx="96">
                  <v>4</v>
                </pt>
                <pt idx="97">
                  <v>7</v>
                </pt>
                <pt idx="98">
                  <v>7</v>
                </pt>
                <pt idx="99">
                  <v>9</v>
                </pt>
              </numCache>
            </numRef>
          </val>
        </ser>
        <ser>
          <idx val="2"/>
          <order val="2"/>
          <tx>
            <strRef>
              <f>Sheet1!$O$1</f>
              <strCache>
                <ptCount val="1"/>
                <pt idx="0">
                  <v>多空家數和</v>
                </pt>
              </strCache>
            </strRef>
          </tx>
          <spPr>
            <a:ln>
              <a:solidFill>
                <a:schemeClr val="accent6">
                  <a:lumMod val="50000"/>
                </a:schemeClr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Sheet1!$A$2:$A$101</f>
              <strCache>
                <ptCount val="100"/>
                <pt idx="0">
                  <v>DO_20260105.xlsx</v>
                </pt>
                <pt idx="1">
                  <v>DO_20260106.xlsx</v>
                </pt>
                <pt idx="2">
                  <v>DO_20260107.xlsx</v>
                </pt>
                <pt idx="3">
                  <v>DO_20260108.xlsx</v>
                </pt>
                <pt idx="4">
                  <v>DO_20260109.xlsx</v>
                </pt>
                <pt idx="5">
                  <v>DO_20260112.xlsx</v>
                </pt>
                <pt idx="6">
                  <v>DO_20260113.xlsx</v>
                </pt>
                <pt idx="7">
                  <v>DO_20260114.xlsx</v>
                </pt>
                <pt idx="8">
                  <v>DO_20260115.xlsx</v>
                </pt>
                <pt idx="9">
                  <v>DO_20260116.xlsx</v>
                </pt>
                <pt idx="10">
                  <v>DO_20260119.xlsx</v>
                </pt>
                <pt idx="11">
                  <v>DO_20260120.xlsx</v>
                </pt>
                <pt idx="12">
                  <v>DO_20260121.xlsx</v>
                </pt>
                <pt idx="13">
                  <v>DO_20260122.xlsx</v>
                </pt>
                <pt idx="14">
                  <v>DO_20260123.xlsx</v>
                </pt>
                <pt idx="15">
                  <v>DO_20260126.xlsx</v>
                </pt>
                <pt idx="16">
                  <v>DO_20260127.xlsx</v>
                </pt>
                <pt idx="17">
                  <v>DO_20260128.xlsx</v>
                </pt>
                <pt idx="18">
                  <v>DO_20260129.xlsx</v>
                </pt>
                <pt idx="19">
                  <v>DO_20260130.xlsx</v>
                </pt>
                <pt idx="20">
                  <v>DO_20260202.xlsx</v>
                </pt>
                <pt idx="21">
                  <v>DO_20260203.xlsx</v>
                </pt>
                <pt idx="22">
                  <v>DO_20260204.xlsx</v>
                </pt>
                <pt idx="23">
                  <v>DO_20260205.xlsx</v>
                </pt>
                <pt idx="24">
                  <v>DO_20260206.xlsx</v>
                </pt>
                <pt idx="25">
                  <v>DO_20260209.xlsx</v>
                </pt>
                <pt idx="26">
                  <v>DO_20260210.xlsx</v>
                </pt>
                <pt idx="27">
                  <v>DO_20260211.xlsx</v>
                </pt>
                <pt idx="28">
                  <v>DO_20260223.xlsx</v>
                </pt>
                <pt idx="29">
                  <v>DO_20260224.xlsx</v>
                </pt>
                <pt idx="30">
                  <v>DO_20260225.xlsx</v>
                </pt>
                <pt idx="31">
                  <v>DO_20260226.xlsx</v>
                </pt>
                <pt idx="32">
                  <v>DO_20260302.xlsx</v>
                </pt>
                <pt idx="33">
                  <v>DO_20260303.xlsx</v>
                </pt>
                <pt idx="34">
                  <v>DO_20260304.xlsx</v>
                </pt>
                <pt idx="35">
                  <v>DO_20260305.xlsx</v>
                </pt>
                <pt idx="36">
                  <v>DO_20260306.xlsx</v>
                </pt>
                <pt idx="37">
                  <v>DO_20260309.xlsx</v>
                </pt>
                <pt idx="38">
                  <v>DO_20260310.xlsx</v>
                </pt>
                <pt idx="39">
                  <v>DO_20260311.xlsx</v>
                </pt>
                <pt idx="40">
                  <v>DO_20260312.xlsx</v>
                </pt>
                <pt idx="41">
                  <v>DO_20260313.xlsx</v>
                </pt>
                <pt idx="42">
                  <v>DO_20260316.xlsx</v>
                </pt>
                <pt idx="43">
                  <v>DO_20260317.xlsx</v>
                </pt>
                <pt idx="44">
                  <v>DO_20260318.xlsx</v>
                </pt>
                <pt idx="45">
                  <v>DO_20260319.xlsx</v>
                </pt>
                <pt idx="46">
                  <v>DO_20260320.xlsx</v>
                </pt>
                <pt idx="47">
                  <v>DO_20260323.xlsx</v>
                </pt>
                <pt idx="48">
                  <v>DO_20260324.xlsx</v>
                </pt>
                <pt idx="49">
                  <v>DO_20260325.xlsx</v>
                </pt>
                <pt idx="50">
                  <v>DO_20260326.xlsx</v>
                </pt>
                <pt idx="51">
                  <v>DO_20260327.xlsx</v>
                </pt>
                <pt idx="52">
                  <v>DO_20260330.xlsx</v>
                </pt>
                <pt idx="53">
                  <v>DO_20260331.xlsx</v>
                </pt>
                <pt idx="54">
                  <v>DO_20260401.xlsx</v>
                </pt>
                <pt idx="55">
                  <v>DO_20260402.xlsx</v>
                </pt>
                <pt idx="56">
                  <v>DO_20260407.xlsx</v>
                </pt>
                <pt idx="57">
                  <v>DO_20260408.xlsx</v>
                </pt>
                <pt idx="58">
                  <v>DO_20260409.xlsx</v>
                </pt>
                <pt idx="59">
                  <v>DO_20260410.xlsx</v>
                </pt>
                <pt idx="60">
                  <v>DO_20260413.xlsx</v>
                </pt>
                <pt idx="61">
                  <v>DO_20260414.xlsx</v>
                </pt>
                <pt idx="62">
                  <v>DO_20260415.xlsx</v>
                </pt>
                <pt idx="63">
                  <v>DO_20260416.xlsx</v>
                </pt>
                <pt idx="64">
                  <v>DO_20260417.xlsx</v>
                </pt>
                <pt idx="65">
                  <v>DO_20260420.xlsx</v>
                </pt>
                <pt idx="66">
                  <v>DO_20260421.xlsx</v>
                </pt>
                <pt idx="67">
                  <v>DO_20260422.xlsx</v>
                </pt>
                <pt idx="68">
                  <v>DO_20260423.xlsx</v>
                </pt>
                <pt idx="69">
                  <v>DO_20260424.xlsx</v>
                </pt>
                <pt idx="70">
                  <v>DO_20260427.xlsx</v>
                </pt>
                <pt idx="71">
                  <v>DO_20260428.xlsx</v>
                </pt>
                <pt idx="72">
                  <v>DO_20260429.xlsx</v>
                </pt>
                <pt idx="73">
                  <v>DO_20260430.xlsx</v>
                </pt>
                <pt idx="74">
                  <v>DO_20260504.xlsx</v>
                </pt>
                <pt idx="75">
                  <v>DO_20260505.xlsx</v>
                </pt>
                <pt idx="76">
                  <v>DO_20260506.xlsx</v>
                </pt>
                <pt idx="77">
                  <v>DO_20260507.xlsx</v>
                </pt>
                <pt idx="78">
                  <v>DO_20260508.xlsx</v>
                </pt>
                <pt idx="79">
                  <v>DO_20260511.xlsx</v>
                </pt>
                <pt idx="80">
                  <v>DO_20260512.xlsx</v>
                </pt>
                <pt idx="81">
                  <v>DO_20260513.xlsx</v>
                </pt>
                <pt idx="82">
                  <v>DO_20260514.xlsx</v>
                </pt>
                <pt idx="83">
                  <v>DO_20260518.xlsx</v>
                </pt>
                <pt idx="84">
                  <v>DO_20260515.xlsx</v>
                </pt>
                <pt idx="85">
                  <v>DO_20260519.xlsx</v>
                </pt>
                <pt idx="86">
                  <v>DO_20260520.xlsx</v>
                </pt>
                <pt idx="87">
                  <v>DO_20260521.xlsx</v>
                </pt>
                <pt idx="88">
                  <v>DO_20260522.xlsx</v>
                </pt>
                <pt idx="89">
                  <v>DO_20260525.xlsx</v>
                </pt>
                <pt idx="90">
                  <v>DO_20260526.xlsx</v>
                </pt>
                <pt idx="91">
                  <v>DO_20260527.xlsx</v>
                </pt>
                <pt idx="92">
                  <v>DO_20260528.xlsx</v>
                </pt>
                <pt idx="93">
                  <v>DO_20260529.xlsx</v>
                </pt>
                <pt idx="94">
                  <v>DO_20260601.xlsx</v>
                </pt>
                <pt idx="95">
                  <v>DO_20260602.xlsx</v>
                </pt>
                <pt idx="96">
                  <v>DO_20260603.xlsx</v>
                </pt>
                <pt idx="97">
                  <v>DO_20260604.xlsx</v>
                </pt>
                <pt idx="98">
                  <v>DO_20260605.xlsx</v>
                </pt>
                <pt idx="99">
                  <v>DO_20260608.xlsx</v>
                </pt>
              </strCache>
            </strRef>
          </cat>
          <val>
            <numRef>
              <f>Sheet1!$O$2:$O$101</f>
              <numCache>
                <formatCode>General</formatCode>
                <ptCount val="100"/>
                <pt idx="0">
                  <v>47</v>
                </pt>
                <pt idx="1">
                  <v>51</v>
                </pt>
                <pt idx="2">
                  <v>45</v>
                </pt>
                <pt idx="3">
                  <v>43</v>
                </pt>
                <pt idx="4">
                  <v>28</v>
                </pt>
                <pt idx="5">
                  <v>50</v>
                </pt>
                <pt idx="6">
                  <v>50</v>
                </pt>
                <pt idx="7">
                  <v>88</v>
                </pt>
                <pt idx="8">
                  <v>64</v>
                </pt>
                <pt idx="9">
                  <v>71</v>
                </pt>
                <pt idx="10">
                  <v>73</v>
                </pt>
                <pt idx="11">
                  <v>66</v>
                </pt>
                <pt idx="12">
                  <v>62</v>
                </pt>
                <pt idx="13">
                  <v>56</v>
                </pt>
                <pt idx="14">
                  <v>54</v>
                </pt>
                <pt idx="15">
                  <v>45</v>
                </pt>
                <pt idx="16">
                  <v>52</v>
                </pt>
                <pt idx="17">
                  <v>55</v>
                </pt>
                <pt idx="18">
                  <v>47</v>
                </pt>
                <pt idx="19">
                  <v>54</v>
                </pt>
                <pt idx="20">
                  <v>53</v>
                </pt>
                <pt idx="21">
                  <v>51</v>
                </pt>
                <pt idx="22">
                  <v>44</v>
                </pt>
                <pt idx="23">
                  <v>30</v>
                </pt>
                <pt idx="24">
                  <v>30</v>
                </pt>
                <pt idx="25">
                  <v>39</v>
                </pt>
                <pt idx="26">
                  <v>44</v>
                </pt>
                <pt idx="27">
                  <v>38</v>
                </pt>
                <pt idx="28">
                  <v>40</v>
                </pt>
                <pt idx="29">
                  <v>47</v>
                </pt>
                <pt idx="30">
                  <v>66</v>
                </pt>
                <pt idx="31">
                  <v>69</v>
                </pt>
                <pt idx="32">
                  <v>57</v>
                </pt>
                <pt idx="33">
                  <v>40</v>
                </pt>
                <pt idx="34">
                  <v>43</v>
                </pt>
                <pt idx="35">
                  <v>48</v>
                </pt>
                <pt idx="36">
                  <v>42</v>
                </pt>
                <pt idx="37">
                  <v>49</v>
                </pt>
                <pt idx="38">
                  <v>52</v>
                </pt>
                <pt idx="39">
                  <v>35</v>
                </pt>
                <pt idx="40">
                  <v>47</v>
                </pt>
                <pt idx="41">
                  <v>48</v>
                </pt>
                <pt idx="42">
                  <v>36</v>
                </pt>
                <pt idx="43">
                  <v>42</v>
                </pt>
                <pt idx="44">
                  <v>44</v>
                </pt>
                <pt idx="45">
                  <v>43</v>
                </pt>
                <pt idx="46">
                  <v>46</v>
                </pt>
                <pt idx="47">
                  <v>57</v>
                </pt>
                <pt idx="48">
                  <v>63</v>
                </pt>
                <pt idx="49">
                  <v>38</v>
                </pt>
                <pt idx="50">
                  <v>48</v>
                </pt>
                <pt idx="51">
                  <v>50</v>
                </pt>
                <pt idx="52">
                  <v>64</v>
                </pt>
                <pt idx="53">
                  <v>60</v>
                </pt>
                <pt idx="54">
                  <v>37</v>
                </pt>
                <pt idx="55">
                  <v>45</v>
                </pt>
                <pt idx="56">
                  <v>37</v>
                </pt>
                <pt idx="57">
                  <v>31</v>
                </pt>
                <pt idx="58">
                  <v>49</v>
                </pt>
                <pt idx="59">
                  <v>45</v>
                </pt>
                <pt idx="60">
                  <v>43</v>
                </pt>
                <pt idx="61">
                  <v>49</v>
                </pt>
                <pt idx="62">
                  <v>51</v>
                </pt>
                <pt idx="63">
                  <v>77</v>
                </pt>
                <pt idx="64">
                  <v>82</v>
                </pt>
                <pt idx="65">
                  <v>78</v>
                </pt>
                <pt idx="66">
                  <v>73</v>
                </pt>
                <pt idx="67">
                  <v>77</v>
                </pt>
                <pt idx="68">
                  <v>38</v>
                </pt>
                <pt idx="69">
                  <v>36</v>
                </pt>
                <pt idx="70">
                  <v>37</v>
                </pt>
                <pt idx="71">
                  <v>29</v>
                </pt>
                <pt idx="72">
                  <v>21</v>
                </pt>
                <pt idx="73">
                  <v>33</v>
                </pt>
                <pt idx="74">
                  <v>48</v>
                </pt>
                <pt idx="75">
                  <v>54</v>
                </pt>
                <pt idx="76">
                  <v>51</v>
                </pt>
                <pt idx="77">
                  <v>53</v>
                </pt>
                <pt idx="78">
                  <v>52</v>
                </pt>
                <pt idx="79">
                  <v>68</v>
                </pt>
                <pt idx="80">
                  <v>62</v>
                </pt>
                <pt idx="81">
                  <v>49</v>
                </pt>
                <pt idx="82">
                  <v>53</v>
                </pt>
                <pt idx="83">
                  <v>49</v>
                </pt>
                <pt idx="84">
                  <v>47</v>
                </pt>
                <pt idx="85">
                  <v>39</v>
                </pt>
                <pt idx="86">
                  <v>38</v>
                </pt>
                <pt idx="87">
                  <v>27</v>
                </pt>
                <pt idx="88">
                  <v>37</v>
                </pt>
                <pt idx="89">
                  <v>53</v>
                </pt>
                <pt idx="90">
                  <v>57</v>
                </pt>
                <pt idx="91">
                  <v>48</v>
                </pt>
                <pt idx="92">
                  <v>43</v>
                </pt>
                <pt idx="93">
                  <v>42</v>
                </pt>
                <pt idx="94">
                  <v>57</v>
                </pt>
                <pt idx="95">
                  <v>66</v>
                </pt>
                <pt idx="96">
                  <v>67</v>
                </pt>
                <pt idx="97">
                  <v>61</v>
                </pt>
                <pt idx="98">
                  <v>40</v>
                </pt>
                <pt idx="99">
                  <v>18</v>
                </pt>
              </numCache>
            </numRef>
          </val>
        </ser>
        <marker val="1"/>
        <axId val="175815680"/>
        <axId val="175826048"/>
      </lineChart>
      <catAx>
        <axId val="175815680"/>
        <scaling>
          <orientation val="minMax"/>
        </scaling>
        <axPos val="b"/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sz="1600"/>
            </a:pPr>
            <a:r>
              <a:t>None</a:t>
            </a:r>
            <a:endParaRPr lang="zh-TW"/>
          </a:p>
        </txPr>
        <crossAx val="175826048"/>
        <crosses val="autoZero"/>
        <auto val="1"/>
        <lblAlgn val="ctr"/>
        <lblOffset val="100"/>
      </catAx>
      <valAx>
        <axId val="175826048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175815680"/>
        <crosses val="autoZero"/>
        <crossBetween val="between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18</col>
      <colOff>432163</colOff>
      <row>1</row>
      <rowOff>163845</rowOff>
    </from>
    <to>
      <col>62</col>
      <colOff>404949</colOff>
      <row>21</row>
      <rowOff>58784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19</col>
      <colOff>10599</colOff>
      <row>46</row>
      <rowOff>45597</rowOff>
    </from>
    <to>
      <col>63</col>
      <colOff>21772</colOff>
      <row>69</row>
      <rowOff>163286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19</col>
      <colOff>3217</colOff>
      <row>70</row>
      <rowOff>204029</rowOff>
    </from>
    <to>
      <col>63</col>
      <colOff>10885</colOff>
      <row>91</row>
      <rowOff>43542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18</col>
      <colOff>448492</colOff>
      <row>21</row>
      <rowOff>188866</rowOff>
    </from>
    <to>
      <col>62</col>
      <colOff>505641</colOff>
      <row>45</row>
      <rowOff>89263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19</col>
      <colOff>55419</colOff>
      <row>46</row>
      <rowOff>0</rowOff>
    </from>
    <to>
      <col>63</col>
      <colOff>112568</colOff>
      <row>69</row>
      <rowOff>106138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19</col>
      <colOff>0</colOff>
      <row>120</row>
      <rowOff>0</rowOff>
    </from>
    <to>
      <col>63</col>
      <colOff>57149</colOff>
      <row>143</row>
      <rowOff>106137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"/>
  <sheetViews>
    <sheetView tabSelected="1" topLeftCell="Y1" zoomScale="55" zoomScaleNormal="55" zoomScalePageLayoutView="85" workbookViewId="0">
      <selection activeCell="BM24" sqref="BM24"/>
    </sheetView>
  </sheetViews>
  <sheetFormatPr baseColWidth="8" defaultRowHeight="16.2"/>
  <cols>
    <col width="15.44140625" customWidth="1" style="1" min="1" max="1"/>
    <col width="13.109375" bestFit="1" customWidth="1" style="1" min="15" max="15"/>
  </cols>
  <sheetData>
    <row r="1">
      <c r="B1" s="0" t="inlineStr">
        <is>
          <t>多維持</t>
        </is>
      </c>
      <c r="C1" s="0" t="inlineStr">
        <is>
          <t>多新進</t>
        </is>
      </c>
      <c r="D1" s="0" t="inlineStr">
        <is>
          <t>多離開</t>
        </is>
      </c>
      <c r="E1" s="0" t="inlineStr">
        <is>
          <t>空維持</t>
        </is>
      </c>
      <c r="F1" s="0" t="inlineStr">
        <is>
          <t>空新進</t>
        </is>
      </c>
      <c r="G1" s="0" t="inlineStr">
        <is>
          <t>空離開</t>
        </is>
      </c>
      <c r="I1" s="0" t="inlineStr">
        <is>
          <t>多</t>
        </is>
      </c>
      <c r="J1" s="0" t="inlineStr">
        <is>
          <t>多離開</t>
        </is>
      </c>
      <c r="K1" s="0" t="inlineStr">
        <is>
          <t>空</t>
        </is>
      </c>
      <c r="L1" s="0" t="inlineStr">
        <is>
          <t>空離開</t>
        </is>
      </c>
      <c r="M1" s="0" t="inlineStr">
        <is>
          <t>其他</t>
        </is>
      </c>
      <c r="N1" s="0" t="inlineStr">
        <is>
          <t>比值</t>
        </is>
      </c>
      <c r="O1" s="0" t="inlineStr">
        <is>
          <t>多空家數和</t>
        </is>
      </c>
    </row>
    <row r="2">
      <c r="A2" s="0" t="inlineStr">
        <is>
          <t>DO_20260204.xlsx</t>
        </is>
      </c>
      <c r="B2" s="0" t="n">
        <v>36</v>
      </c>
      <c r="C2" s="0" t="n">
        <v>16</v>
      </c>
      <c r="D2" s="0" t="n">
        <v>6</v>
      </c>
      <c r="E2" s="0" t="n">
        <v>8</v>
      </c>
      <c r="F2" s="0" t="n">
        <v>4</v>
      </c>
      <c r="G2" s="0" t="n">
        <v>2</v>
      </c>
      <c r="I2" s="0">
        <f>B2+C2</f>
        <v/>
      </c>
      <c r="J2" s="0">
        <f>D2</f>
        <v/>
      </c>
      <c r="K2" s="0">
        <f>E2+F2</f>
        <v/>
      </c>
      <c r="L2" s="0">
        <f>G2</f>
        <v/>
      </c>
      <c r="M2" s="0">
        <f>150-I2-K2-J2-L2</f>
        <v/>
      </c>
      <c r="N2" s="0">
        <f>K2-J2</f>
        <v/>
      </c>
      <c r="O2" s="0">
        <f>I2+K2</f>
        <v/>
      </c>
      <c r="Q2" s="0" t="n">
        <v>17572.330078</v>
      </c>
    </row>
    <row r="3">
      <c r="A3" s="0" t="inlineStr">
        <is>
          <t>DO_20260205.xlsx</t>
        </is>
      </c>
      <c r="B3" s="0" t="n">
        <v>42</v>
      </c>
      <c r="C3" s="0" t="n">
        <v>11</v>
      </c>
      <c r="D3" s="0" t="n">
        <v>10</v>
      </c>
      <c r="E3" s="0" t="n">
        <v>9</v>
      </c>
      <c r="F3" s="0" t="n">
        <v>9</v>
      </c>
      <c r="G3" s="0" t="n">
        <v>3</v>
      </c>
      <c r="I3" s="0">
        <f>B3+C3</f>
        <v/>
      </c>
      <c r="J3" s="0">
        <f>D3</f>
        <v/>
      </c>
      <c r="K3" s="0">
        <f>E3+F3</f>
        <v/>
      </c>
      <c r="L3" s="0">
        <f>G3</f>
        <v/>
      </c>
      <c r="M3" s="0">
        <f>150-I3-K3-J3-L3</f>
        <v/>
      </c>
      <c r="N3" s="0">
        <f>K3-J3</f>
        <v/>
      </c>
      <c r="O3" s="0">
        <f>I3+K3</f>
        <v/>
      </c>
      <c r="Q3" s="0" t="n">
        <v>17572.919922</v>
      </c>
      <c r="R3" s="0" t="n">
        <v>89.5195309999981</v>
      </c>
    </row>
    <row r="4">
      <c r="A4" s="0" t="inlineStr">
        <is>
          <t>DO_20260206.xlsx</t>
        </is>
      </c>
      <c r="B4" s="0" t="n">
        <v>38</v>
      </c>
      <c r="C4" s="0" t="n">
        <v>14</v>
      </c>
      <c r="D4" s="0" t="n">
        <v>15</v>
      </c>
      <c r="E4" s="0" t="n">
        <v>14</v>
      </c>
      <c r="F4" s="0" t="n">
        <v>7</v>
      </c>
      <c r="G4" s="0" t="n">
        <v>4</v>
      </c>
      <c r="I4" s="0">
        <f>B4+C4</f>
        <v/>
      </c>
      <c r="J4" s="0">
        <f>D4</f>
        <v/>
      </c>
      <c r="K4" s="0">
        <f>E4+F4</f>
        <v/>
      </c>
      <c r="L4" s="0">
        <f>G4</f>
        <v/>
      </c>
      <c r="M4" s="0">
        <f>150-I4-K4-J4-L4</f>
        <v/>
      </c>
      <c r="N4" s="0">
        <f>K4-J4</f>
        <v/>
      </c>
      <c r="O4" s="0">
        <f>I4+K4</f>
        <v/>
      </c>
      <c r="Q4" s="0" t="n">
        <v>17403.560547</v>
      </c>
      <c r="R4" s="0" t="n">
        <v>-31.02929699999731</v>
      </c>
    </row>
    <row r="5">
      <c r="A5" s="0" t="inlineStr">
        <is>
          <t>DO_20260209.xlsx</t>
        </is>
      </c>
      <c r="B5" s="0" t="n">
        <v>38</v>
      </c>
      <c r="C5" s="0" t="n">
        <v>6</v>
      </c>
      <c r="D5" s="0" t="n">
        <v>14</v>
      </c>
      <c r="E5" s="0" t="n">
        <v>16</v>
      </c>
      <c r="F5" s="0" t="n">
        <v>6</v>
      </c>
      <c r="G5" s="0" t="n">
        <v>5</v>
      </c>
      <c r="I5" s="0">
        <f>B5+C5</f>
        <v/>
      </c>
      <c r="J5" s="0">
        <f>D5</f>
        <v/>
      </c>
      <c r="K5" s="0">
        <f>E5+F5</f>
        <v/>
      </c>
      <c r="L5" s="0">
        <f>G5</f>
        <v/>
      </c>
      <c r="M5" s="0">
        <f>150-I5-K5-J5-L5</f>
        <v/>
      </c>
      <c r="N5" s="0">
        <f>K5-J5</f>
        <v/>
      </c>
      <c r="O5" s="0">
        <f>I5+K5</f>
        <v/>
      </c>
      <c r="Q5" s="0" t="n">
        <v>17269.869141</v>
      </c>
      <c r="R5" s="0" t="n">
        <v>-151.3691409999992</v>
      </c>
    </row>
    <row r="6">
      <c r="A6" s="0" t="inlineStr">
        <is>
          <t>DO_20260210.xlsx</t>
        </is>
      </c>
      <c r="B6" s="0" t="n">
        <v>24</v>
      </c>
      <c r="C6" s="0" t="n">
        <v>2</v>
      </c>
      <c r="D6" s="0" t="n">
        <v>20</v>
      </c>
      <c r="E6" s="0" t="n">
        <v>22</v>
      </c>
      <c r="F6" s="0" t="n">
        <v>14</v>
      </c>
      <c r="G6" s="0" t="n">
        <v>0</v>
      </c>
      <c r="I6" s="0">
        <f>B6+C6</f>
        <v/>
      </c>
      <c r="J6" s="0">
        <f>D6</f>
        <v/>
      </c>
      <c r="K6" s="0">
        <f>E6+F6</f>
        <v/>
      </c>
      <c r="L6" s="0">
        <f>G6</f>
        <v/>
      </c>
      <c r="M6" s="0">
        <f>150-I6-K6-J6-L6</f>
        <v/>
      </c>
      <c r="N6" s="0">
        <f>K6-J6</f>
        <v/>
      </c>
      <c r="O6" s="0">
        <f>I6+K6</f>
        <v/>
      </c>
      <c r="Q6" s="0" t="n">
        <v>17135.220703</v>
      </c>
      <c r="R6" s="0" t="n">
        <v>-124.9003900000025</v>
      </c>
    </row>
    <row r="7">
      <c r="A7" s="0" t="inlineStr">
        <is>
          <t>DO_20260211.xlsx</t>
        </is>
      </c>
      <c r="B7" s="0" t="n">
        <v>18</v>
      </c>
      <c r="C7" s="0" t="n">
        <v>9</v>
      </c>
      <c r="D7" s="0" t="n">
        <v>8</v>
      </c>
      <c r="E7" s="0" t="n">
        <v>19</v>
      </c>
      <c r="F7" s="0" t="n">
        <v>10</v>
      </c>
      <c r="G7" s="0" t="n">
        <v>17</v>
      </c>
      <c r="I7" s="0">
        <f>B7+C7</f>
        <v/>
      </c>
      <c r="J7" s="0">
        <f>D7</f>
        <v/>
      </c>
      <c r="K7" s="0">
        <f>E7+F7</f>
        <v/>
      </c>
      <c r="L7" s="0">
        <f>G7</f>
        <v/>
      </c>
      <c r="M7" s="0">
        <f>150-I7-K7-J7-L7</f>
        <v/>
      </c>
      <c r="N7" s="0">
        <f>K7-J7</f>
        <v/>
      </c>
      <c r="O7" s="0">
        <f>I7+K7</f>
        <v/>
      </c>
      <c r="Q7" s="0" t="n">
        <v>17402.810547</v>
      </c>
      <c r="R7" s="0" t="n">
        <v>-117.6484380000002</v>
      </c>
    </row>
    <row r="8">
      <c r="A8" s="0" t="inlineStr">
        <is>
          <t>DO_20260223.xlsx</t>
        </is>
      </c>
      <c r="B8" s="0" t="n">
        <v>17</v>
      </c>
      <c r="C8" s="0" t="n">
        <v>13</v>
      </c>
      <c r="D8" s="0" t="n">
        <v>10</v>
      </c>
      <c r="E8" s="0" t="n">
        <v>18</v>
      </c>
      <c r="F8" s="0" t="n">
        <v>6</v>
      </c>
      <c r="G8" s="0" t="n">
        <v>11</v>
      </c>
      <c r="I8" s="0">
        <f>B8+C8</f>
        <v/>
      </c>
      <c r="J8" s="0">
        <f>D8</f>
        <v/>
      </c>
      <c r="K8" s="0">
        <f>E8+F8</f>
        <v/>
      </c>
      <c r="L8" s="0">
        <f>G8</f>
        <v/>
      </c>
      <c r="M8" s="0">
        <f>150-I8-K8-J8-L8</f>
        <v/>
      </c>
      <c r="N8" s="0">
        <f>K8-J8</f>
        <v/>
      </c>
      <c r="O8" s="0">
        <f>I8+K8</f>
        <v/>
      </c>
      <c r="Q8" s="0" t="n">
        <v>17247.410156</v>
      </c>
      <c r="R8" s="0" t="n">
        <v>186.2304690000019</v>
      </c>
    </row>
    <row r="9">
      <c r="A9" s="0" t="inlineStr">
        <is>
          <t>DO_20260224.xlsx</t>
        </is>
      </c>
      <c r="B9" s="0" t="n">
        <v>19</v>
      </c>
      <c r="C9" s="0" t="n">
        <v>9</v>
      </c>
      <c r="D9" s="0" t="n">
        <v>11</v>
      </c>
      <c r="E9" s="0" t="n">
        <v>14</v>
      </c>
      <c r="F9" s="0" t="n">
        <v>3</v>
      </c>
      <c r="G9" s="0" t="n">
        <v>10</v>
      </c>
      <c r="I9" s="0">
        <f>B9+C9</f>
        <v/>
      </c>
      <c r="J9" s="0">
        <f>D9</f>
        <v/>
      </c>
      <c r="K9" s="0">
        <f>E9+F9</f>
        <v/>
      </c>
      <c r="L9" s="0">
        <f>G9</f>
        <v/>
      </c>
      <c r="M9" s="0">
        <f>150-I9-K9-J9-L9</f>
        <v/>
      </c>
      <c r="N9" s="0">
        <f>K9-J9</f>
        <v/>
      </c>
      <c r="O9" s="0">
        <f>I9+K9</f>
        <v/>
      </c>
      <c r="Q9" s="0" t="n">
        <v>17503.279297</v>
      </c>
      <c r="R9" s="0" t="n">
        <v>-167.359375</v>
      </c>
    </row>
    <row r="10">
      <c r="A10" s="0" t="inlineStr">
        <is>
          <t>DO_20260225.xlsx</t>
        </is>
      </c>
      <c r="B10" s="0" t="n">
        <v>20</v>
      </c>
      <c r="C10" s="0" t="n">
        <v>13</v>
      </c>
      <c r="D10" s="0" t="n">
        <v>8</v>
      </c>
      <c r="E10" s="0" t="n">
        <v>13</v>
      </c>
      <c r="F10" s="0" t="n">
        <v>6</v>
      </c>
      <c r="G10" s="0" t="n">
        <v>4</v>
      </c>
      <c r="I10" s="0">
        <f>B10+C10</f>
        <v/>
      </c>
      <c r="J10" s="0">
        <f>D10</f>
        <v/>
      </c>
      <c r="K10" s="0">
        <f>E10+F10</f>
        <v/>
      </c>
      <c r="L10" s="0">
        <f>G10</f>
        <v/>
      </c>
      <c r="M10" s="0">
        <f>150-I10-K10-J10-L10</f>
        <v/>
      </c>
      <c r="N10" s="0">
        <f>K10-J10</f>
        <v/>
      </c>
      <c r="O10" s="0">
        <f>I10+K10</f>
        <v/>
      </c>
      <c r="Q10" s="0" t="n">
        <v>17553.759766</v>
      </c>
      <c r="R10" s="0" t="n">
        <v>246.669922000001</v>
      </c>
    </row>
    <row r="11">
      <c r="A11" s="0" t="inlineStr">
        <is>
          <t>DO_20260226.xlsx</t>
        </is>
      </c>
      <c r="B11" s="0" t="n">
        <v>26</v>
      </c>
      <c r="C11" s="0" t="n">
        <v>13</v>
      </c>
      <c r="D11" s="0" t="n">
        <v>7</v>
      </c>
      <c r="E11" s="0" t="n">
        <v>11</v>
      </c>
      <c r="F11" s="0" t="n">
        <v>5</v>
      </c>
      <c r="G11" s="0" t="n">
        <v>8</v>
      </c>
      <c r="I11" s="0">
        <f>B11+C11</f>
        <v/>
      </c>
      <c r="J11" s="0">
        <f>D11</f>
        <v/>
      </c>
      <c r="K11" s="0">
        <f>E11+F11</f>
        <v/>
      </c>
      <c r="L11" s="0">
        <f>G11</f>
        <v/>
      </c>
      <c r="M11" s="0">
        <f>150-I11-K11-J11-L11</f>
        <v/>
      </c>
      <c r="N11" s="0">
        <f>K11-J11</f>
        <v/>
      </c>
      <c r="O11" s="0">
        <f>I11+K11</f>
        <v/>
      </c>
      <c r="Q11" s="0" t="n">
        <v>17623.890625</v>
      </c>
      <c r="R11" s="0" t="n">
        <v>64.640625</v>
      </c>
    </row>
    <row r="12">
      <c r="A12" s="0" t="inlineStr">
        <is>
          <t>DO_20260302.xlsx</t>
        </is>
      </c>
      <c r="B12" s="0" t="n">
        <v>19</v>
      </c>
      <c r="C12" s="0" t="n">
        <v>8</v>
      </c>
      <c r="D12" s="0" t="n">
        <v>20</v>
      </c>
      <c r="E12" s="0" t="n">
        <v>12</v>
      </c>
      <c r="F12" s="0" t="n">
        <v>8</v>
      </c>
      <c r="G12" s="0" t="n">
        <v>4</v>
      </c>
      <c r="I12" s="0">
        <f>B12+C12</f>
        <v/>
      </c>
      <c r="J12" s="0">
        <f>D12</f>
        <v/>
      </c>
      <c r="K12" s="0">
        <f>E12+F12</f>
        <v/>
      </c>
      <c r="L12" s="0">
        <f>G12</f>
        <v/>
      </c>
      <c r="M12" s="0">
        <f>150-I12-K12-J12-L12</f>
        <v/>
      </c>
      <c r="N12" s="0">
        <f>K12-J12</f>
        <v/>
      </c>
      <c r="O12" s="0">
        <f>I12+K12</f>
        <v/>
      </c>
      <c r="Q12" s="0" t="n">
        <v>17603.119141</v>
      </c>
      <c r="R12" s="0" t="n">
        <v>35.25</v>
      </c>
    </row>
    <row r="13">
      <c r="A13" s="0" t="inlineStr">
        <is>
          <t>DO_20260303.xlsx</t>
        </is>
      </c>
      <c r="B13" s="0" t="n">
        <v>15</v>
      </c>
      <c r="C13" s="0" t="n">
        <v>6</v>
      </c>
      <c r="D13" s="0" t="n">
        <v>12</v>
      </c>
      <c r="E13" s="0" t="n">
        <v>18</v>
      </c>
      <c r="F13" s="0" t="n">
        <v>15</v>
      </c>
      <c r="G13" s="0" t="n">
        <v>2</v>
      </c>
      <c r="I13" s="0">
        <f>B13+C13</f>
        <v/>
      </c>
      <c r="J13" s="0">
        <f>D13</f>
        <v/>
      </c>
      <c r="K13" s="0">
        <f>E13+F13</f>
        <v/>
      </c>
      <c r="L13" s="0">
        <f>G13</f>
        <v/>
      </c>
      <c r="M13" s="0">
        <f>150-I13-K13-J13-L13</f>
        <v/>
      </c>
      <c r="N13" s="0">
        <f>K13-J13</f>
        <v/>
      </c>
      <c r="O13" s="0">
        <f>I13+K13</f>
        <v/>
      </c>
      <c r="Q13" s="0" t="n">
        <v>17526.279297</v>
      </c>
      <c r="R13" s="0" t="n">
        <v>-21.70117200000095</v>
      </c>
    </row>
    <row r="14">
      <c r="A14" s="0" t="inlineStr">
        <is>
          <t>DO_20260304.xlsx</t>
        </is>
      </c>
      <c r="B14" s="0" t="n">
        <v>9</v>
      </c>
      <c r="C14" s="0" t="n">
        <v>3</v>
      </c>
      <c r="D14" s="0" t="n">
        <v>12</v>
      </c>
      <c r="E14" s="0" t="n">
        <v>25</v>
      </c>
      <c r="F14" s="0" t="n">
        <v>16</v>
      </c>
      <c r="G14" s="0" t="n">
        <v>8</v>
      </c>
      <c r="I14" s="0">
        <f>B14+C14</f>
        <v/>
      </c>
      <c r="J14" s="0">
        <f>D14</f>
        <v/>
      </c>
      <c r="K14" s="0">
        <f>E14+F14</f>
        <v/>
      </c>
      <c r="L14" s="0">
        <f>G14</f>
        <v/>
      </c>
      <c r="M14" s="0">
        <f>150-I14-K14-J14-L14</f>
        <v/>
      </c>
      <c r="N14" s="0">
        <f>K14-J14</f>
        <v/>
      </c>
      <c r="O14" s="0">
        <f>I14+K14</f>
        <v/>
      </c>
      <c r="Q14" s="0" t="n">
        <v>17485.150391</v>
      </c>
      <c r="R14" s="0" t="n">
        <v>-67.57031199999983</v>
      </c>
    </row>
    <row r="15">
      <c r="A15" s="0" t="inlineStr">
        <is>
          <t>DO_20260305.xlsx</t>
        </is>
      </c>
      <c r="B15" s="0" t="n">
        <v>11</v>
      </c>
      <c r="C15" s="0" t="n">
        <v>7</v>
      </c>
      <c r="D15" s="0" t="n">
        <v>1</v>
      </c>
      <c r="E15" s="0" t="n">
        <v>26</v>
      </c>
      <c r="F15" s="0" t="n">
        <v>7</v>
      </c>
      <c r="G15" s="0" t="n">
        <v>15</v>
      </c>
      <c r="I15" s="0">
        <f>B15+C15</f>
        <v/>
      </c>
      <c r="J15" s="0">
        <f>D15</f>
        <v/>
      </c>
      <c r="K15" s="0">
        <f>E15+F15</f>
        <v/>
      </c>
      <c r="L15" s="0">
        <f>G15</f>
        <v/>
      </c>
      <c r="M15" s="0">
        <f>150-I15-K15-J15-L15</f>
        <v/>
      </c>
      <c r="N15" s="0">
        <f>K15-J15</f>
        <v/>
      </c>
      <c r="O15" s="0">
        <f>I15+K15</f>
        <v/>
      </c>
      <c r="Q15" s="0" t="n">
        <v>17323.640625</v>
      </c>
      <c r="R15" s="0" t="n">
        <v>-19.859375</v>
      </c>
    </row>
    <row r="16">
      <c r="A16" s="0" t="inlineStr">
        <is>
          <t>DO_20260306.xlsx</t>
        </is>
      </c>
      <c r="B16" s="0" t="n">
        <v>18</v>
      </c>
      <c r="C16" s="0" t="n">
        <v>5</v>
      </c>
      <c r="D16" s="0" t="n">
        <v>0</v>
      </c>
      <c r="E16" s="0" t="n">
        <v>15</v>
      </c>
      <c r="F16" s="0" t="n">
        <v>6</v>
      </c>
      <c r="G16" s="0" t="n">
        <v>18</v>
      </c>
      <c r="I16" s="0">
        <f>B16+C16</f>
        <v/>
      </c>
      <c r="J16" s="0">
        <f>D16</f>
        <v/>
      </c>
      <c r="K16" s="0">
        <f>E16+F16</f>
        <v/>
      </c>
      <c r="L16" s="0">
        <f>G16</f>
        <v/>
      </c>
      <c r="M16" s="0">
        <f>150-I16-K16-J16-L16</f>
        <v/>
      </c>
      <c r="N16" s="0">
        <f>K16-J16</f>
        <v/>
      </c>
      <c r="O16" s="0">
        <f>I16+K16</f>
        <v/>
      </c>
      <c r="Q16" s="0" t="n">
        <v>17227.179688</v>
      </c>
      <c r="R16" s="0" t="n">
        <v>-168.8085939999983</v>
      </c>
    </row>
    <row r="17">
      <c r="A17" s="0" t="inlineStr">
        <is>
          <t>DO_20260309.xlsx</t>
        </is>
      </c>
      <c r="B17" s="0" t="n">
        <v>10</v>
      </c>
      <c r="C17" s="0" t="n">
        <v>2</v>
      </c>
      <c r="D17" s="0" t="n">
        <v>13</v>
      </c>
      <c r="E17" s="0" t="n">
        <v>11</v>
      </c>
      <c r="F17" s="0" t="n">
        <v>7</v>
      </c>
      <c r="G17" s="0" t="n">
        <v>10</v>
      </c>
      <c r="I17" s="0">
        <f>B17+C17</f>
        <v/>
      </c>
      <c r="J17" s="0">
        <f>D17</f>
        <v/>
      </c>
      <c r="K17" s="0">
        <f>E17+F17</f>
        <v/>
      </c>
      <c r="L17" s="0">
        <f>G17</f>
        <v/>
      </c>
      <c r="M17" s="0">
        <f>150-I17-K17-J17-L17</f>
        <v/>
      </c>
      <c r="N17" s="0">
        <f>K17-J17</f>
        <v/>
      </c>
      <c r="O17" s="0">
        <f>I17+K17</f>
        <v/>
      </c>
      <c r="Q17" s="0" t="n">
        <v>17219.939453</v>
      </c>
      <c r="R17" s="0" t="n">
        <v>-81.43945299999905</v>
      </c>
    </row>
    <row r="18">
      <c r="A18" s="0" t="inlineStr">
        <is>
          <t>DO_20260310.xlsx</t>
        </is>
      </c>
      <c r="B18" s="0" t="n">
        <v>4</v>
      </c>
      <c r="C18" s="0" t="n">
        <v>2</v>
      </c>
      <c r="D18" s="0" t="n">
        <v>8</v>
      </c>
      <c r="E18" s="0" t="n">
        <v>14</v>
      </c>
      <c r="F18" s="0" t="n">
        <v>10</v>
      </c>
      <c r="G18" s="0" t="n">
        <v>4</v>
      </c>
      <c r="I18" s="0">
        <f>B18+C18</f>
        <v/>
      </c>
      <c r="J18" s="0">
        <f>D18</f>
        <v/>
      </c>
      <c r="K18" s="0">
        <f>E18+F18</f>
        <v/>
      </c>
      <c r="L18" s="0">
        <f>G18</f>
        <v/>
      </c>
      <c r="M18" s="0">
        <f>150-I18-K18-J18-L18</f>
        <v/>
      </c>
      <c r="N18" s="0">
        <f>K18-J18</f>
        <v/>
      </c>
      <c r="O18" s="0">
        <f>I18+K18</f>
        <v/>
      </c>
      <c r="Q18" s="0" t="n">
        <v>16982.109375</v>
      </c>
      <c r="R18" s="0" t="n">
        <v>-1.410156000001734</v>
      </c>
    </row>
    <row r="19">
      <c r="A19" s="0" t="inlineStr">
        <is>
          <t>DO_20260311.xlsx</t>
        </is>
      </c>
      <c r="B19" s="0" t="n">
        <v>2</v>
      </c>
      <c r="C19" s="0" t="n">
        <v>11</v>
      </c>
      <c r="D19" s="0" t="n">
        <v>4</v>
      </c>
      <c r="E19" s="0" t="n">
        <v>17</v>
      </c>
      <c r="F19" s="0" t="n">
        <v>9</v>
      </c>
      <c r="G19" s="0" t="n">
        <v>7</v>
      </c>
      <c r="I19" s="0">
        <f>B19+C19</f>
        <v/>
      </c>
      <c r="J19" s="0">
        <f>D19</f>
        <v/>
      </c>
      <c r="K19" s="0">
        <f>E19+F19</f>
        <v/>
      </c>
      <c r="L19" s="0">
        <f>G19</f>
        <v/>
      </c>
      <c r="M19" s="0">
        <f>150-I19-K19-J19-L19</f>
        <v/>
      </c>
      <c r="N19" s="0">
        <f>K19-J19</f>
        <v/>
      </c>
      <c r="O19" s="0">
        <f>I19+K19</f>
        <v/>
      </c>
      <c r="Q19" s="0" t="n">
        <v>16858.769531</v>
      </c>
      <c r="R19" s="0" t="n">
        <v>-234.2304689999983</v>
      </c>
    </row>
    <row r="20">
      <c r="A20" s="0" t="inlineStr">
        <is>
          <t>DO_20260312.xlsx</t>
        </is>
      </c>
      <c r="B20" s="0" t="n">
        <v>11</v>
      </c>
      <c r="C20" s="0" t="n">
        <v>11</v>
      </c>
      <c r="D20" s="0" t="n">
        <v>2</v>
      </c>
      <c r="E20" s="0" t="n">
        <v>15</v>
      </c>
      <c r="F20" s="0" t="n">
        <v>7</v>
      </c>
      <c r="G20" s="0" t="n">
        <v>11</v>
      </c>
      <c r="I20" s="0">
        <f>B20+C20</f>
        <v/>
      </c>
      <c r="J20" s="0">
        <f>D20</f>
        <v/>
      </c>
      <c r="K20" s="0">
        <f>E20+F20</f>
        <v/>
      </c>
      <c r="L20" s="0">
        <f>G20</f>
        <v/>
      </c>
      <c r="M20" s="0">
        <f>150-I20-K20-J20-L20</f>
        <v/>
      </c>
      <c r="N20" s="0">
        <f>K20-J20</f>
        <v/>
      </c>
      <c r="O20" s="0">
        <f>I20+K20</f>
        <v/>
      </c>
      <c r="Q20" s="0" t="n">
        <v>16661.359375</v>
      </c>
      <c r="R20" s="0" t="n">
        <v>-82.56054699999731</v>
      </c>
    </row>
    <row r="21">
      <c r="A21" s="0" t="inlineStr">
        <is>
          <t>DO_20260313.xlsx</t>
        </is>
      </c>
      <c r="B21" s="0" t="n">
        <v>18</v>
      </c>
      <c r="C21" s="0" t="n">
        <v>9</v>
      </c>
      <c r="D21" s="0" t="n">
        <v>4</v>
      </c>
      <c r="E21" s="0" t="n">
        <v>9</v>
      </c>
      <c r="F21" s="0" t="n">
        <v>2</v>
      </c>
      <c r="G21" s="0" t="n">
        <v>13</v>
      </c>
      <c r="I21" s="0">
        <f>B21+C21</f>
        <v/>
      </c>
      <c r="J21" s="0">
        <f>D21</f>
        <v/>
      </c>
      <c r="K21" s="0">
        <f>E21+F21</f>
        <v/>
      </c>
      <c r="L21" s="0">
        <f>G21</f>
        <v/>
      </c>
      <c r="M21" s="0">
        <f>150-I21-K21-J21-L21</f>
        <v/>
      </c>
      <c r="N21" s="0">
        <f>K21-J21</f>
        <v/>
      </c>
      <c r="O21" s="0">
        <f>I21+K21</f>
        <v/>
      </c>
      <c r="Q21" s="0" t="n">
        <v>16826.269531</v>
      </c>
      <c r="R21" s="0" t="n">
        <v>-180.2597659999992</v>
      </c>
    </row>
    <row r="22">
      <c r="A22" s="0" t="inlineStr">
        <is>
          <t>DO_20260316.xlsx</t>
        </is>
      </c>
      <c r="B22" s="0" t="n">
        <v>21</v>
      </c>
      <c r="C22" s="0" t="n">
        <v>11</v>
      </c>
      <c r="D22" s="0" t="n">
        <v>6</v>
      </c>
      <c r="E22" s="0" t="n">
        <v>5</v>
      </c>
      <c r="F22" s="0" t="n">
        <v>3</v>
      </c>
      <c r="G22" s="0" t="n">
        <v>6</v>
      </c>
      <c r="I22" s="0">
        <f>B22+C22</f>
        <v/>
      </c>
      <c r="J22" s="0">
        <f>D22</f>
        <v/>
      </c>
      <c r="K22" s="0">
        <f>E22+F22</f>
        <v/>
      </c>
      <c r="L22" s="0">
        <f>G22</f>
        <v/>
      </c>
      <c r="M22" s="0">
        <f>150-I22-K22-J22-L22</f>
        <v/>
      </c>
      <c r="N22" s="0">
        <f>K22-J22</f>
        <v/>
      </c>
      <c r="O22" s="0">
        <f>I22+K22</f>
        <v/>
      </c>
      <c r="Q22" s="0" t="n">
        <v>16375.400391</v>
      </c>
      <c r="R22" s="0" t="n">
        <v>195.279297000001</v>
      </c>
    </row>
    <row r="23">
      <c r="A23" s="0" t="inlineStr">
        <is>
          <t>DO_20260317.xlsx</t>
        </is>
      </c>
      <c r="B23" s="0" t="n">
        <v>26</v>
      </c>
      <c r="C23" s="0" t="n">
        <v>15</v>
      </c>
      <c r="D23" s="0" t="n">
        <v>6</v>
      </c>
      <c r="E23" s="0" t="n">
        <v>4</v>
      </c>
      <c r="F23" s="0" t="n">
        <v>2</v>
      </c>
      <c r="G23" s="0" t="n">
        <v>4</v>
      </c>
      <c r="I23" s="0">
        <f>B23+C23</f>
        <v/>
      </c>
      <c r="J23" s="0">
        <f>D23</f>
        <v/>
      </c>
      <c r="K23" s="0">
        <f>E23+F23</f>
        <v/>
      </c>
      <c r="L23" s="0">
        <f>G23</f>
        <v/>
      </c>
      <c r="M23" s="0">
        <f>150-I23-K23-J23-L23</f>
        <v/>
      </c>
      <c r="N23" s="0">
        <f>K23-J23</f>
        <v/>
      </c>
      <c r="O23" s="0">
        <f>I23+K23</f>
        <v/>
      </c>
      <c r="Q23" s="0" t="n">
        <v>16341.94043</v>
      </c>
      <c r="R23" s="0" t="n">
        <v>-402.3789060000017</v>
      </c>
    </row>
    <row r="24">
      <c r="A24" s="0" t="inlineStr">
        <is>
          <t>DO_20260318.xlsx</t>
        </is>
      </c>
      <c r="B24" s="0" t="n">
        <v>39</v>
      </c>
      <c r="C24" s="0" t="n">
        <v>19</v>
      </c>
      <c r="D24" s="0" t="n">
        <v>2</v>
      </c>
      <c r="E24" s="0" t="n">
        <v>5</v>
      </c>
      <c r="F24" s="0" t="n">
        <v>3</v>
      </c>
      <c r="G24" s="0" t="n">
        <v>1</v>
      </c>
      <c r="I24" s="0">
        <f>B24+C24</f>
        <v/>
      </c>
      <c r="J24" s="0">
        <f>D24</f>
        <v/>
      </c>
      <c r="K24" s="0">
        <f>E24+F24</f>
        <v/>
      </c>
      <c r="L24" s="0">
        <f>G24</f>
        <v/>
      </c>
      <c r="M24" s="0">
        <f>150-I24-K24-J24-L24</f>
        <v/>
      </c>
      <c r="N24" s="0">
        <f>K24-J24</f>
        <v/>
      </c>
      <c r="O24" s="0">
        <f>I24+K24</f>
        <v/>
      </c>
      <c r="Q24" s="0" t="n">
        <v>16741.839844</v>
      </c>
      <c r="R24" s="0" t="n">
        <v>-85.04003899999771</v>
      </c>
    </row>
    <row r="25">
      <c r="A25" s="0" t="inlineStr">
        <is>
          <t>DO_20260319.xlsx</t>
        </is>
      </c>
      <c r="B25" s="0" t="n">
        <v>47</v>
      </c>
      <c r="C25" s="0" t="n">
        <v>14</v>
      </c>
      <c r="D25" s="0" t="n">
        <v>11</v>
      </c>
      <c r="E25" s="0" t="n">
        <v>6</v>
      </c>
      <c r="F25" s="0" t="n">
        <v>2</v>
      </c>
      <c r="G25" s="0" t="n">
        <v>2</v>
      </c>
      <c r="I25" s="0">
        <f>B25+C25</f>
        <v/>
      </c>
      <c r="J25" s="0">
        <f>D25</f>
        <v/>
      </c>
      <c r="K25" s="0">
        <f>E25+F25</f>
        <v/>
      </c>
      <c r="L25" s="0">
        <f>G25</f>
        <v/>
      </c>
      <c r="M25" s="0">
        <f>150-I25-K25-J25-L25</f>
        <v/>
      </c>
      <c r="N25" s="0">
        <f>K25-J25</f>
        <v/>
      </c>
      <c r="O25" s="0">
        <f>I25+K25</f>
        <v/>
      </c>
      <c r="Q25" s="0" t="n">
        <v>16818.730469</v>
      </c>
      <c r="R25" s="0" t="n">
        <v>282.7089849999975</v>
      </c>
    </row>
    <row r="26">
      <c r="A26" s="0" t="inlineStr">
        <is>
          <t>DO_20260320.xlsx</t>
        </is>
      </c>
      <c r="B26" s="0" t="n">
        <v>38</v>
      </c>
      <c r="C26" s="0" t="n">
        <v>9</v>
      </c>
      <c r="D26" s="0" t="n">
        <v>23</v>
      </c>
      <c r="E26" s="0" t="n">
        <v>6</v>
      </c>
      <c r="F26" s="0" t="n">
        <v>4</v>
      </c>
      <c r="G26" s="0" t="n">
        <v>2</v>
      </c>
      <c r="I26" s="0">
        <f>B26+C26</f>
        <v/>
      </c>
      <c r="J26" s="0">
        <f>D26</f>
        <v/>
      </c>
      <c r="K26" s="0">
        <f>E26+F26</f>
        <v/>
      </c>
      <c r="L26" s="0">
        <f>G26</f>
        <v/>
      </c>
      <c r="M26" s="0">
        <f>150-I26-K26-J26-L26</f>
        <v/>
      </c>
      <c r="N26" s="0">
        <f>K26-J26</f>
        <v/>
      </c>
      <c r="O26" s="0">
        <f>I26+K26</f>
        <v/>
      </c>
      <c r="Q26" s="0" t="n">
        <v>17045.859375</v>
      </c>
      <c r="R26" s="0" t="n">
        <v>-11.90039000000252</v>
      </c>
    </row>
    <row r="27">
      <c r="A27" s="0" t="inlineStr">
        <is>
          <t>DO_20260323.xlsx</t>
        </is>
      </c>
      <c r="B27" s="0" t="n">
        <v>18</v>
      </c>
      <c r="C27" s="0" t="n">
        <v>4</v>
      </c>
      <c r="D27" s="0" t="n">
        <v>29</v>
      </c>
      <c r="E27" s="0" t="n">
        <v>10</v>
      </c>
      <c r="F27" s="0" t="n">
        <v>8</v>
      </c>
      <c r="G27" s="0" t="n">
        <v>0</v>
      </c>
      <c r="I27" s="0">
        <f>B27+C27</f>
        <v/>
      </c>
      <c r="J27" s="0">
        <f>D27</f>
        <v/>
      </c>
      <c r="K27" s="0">
        <f>E27+F27</f>
        <v/>
      </c>
      <c r="L27" s="0">
        <f>G27</f>
        <v/>
      </c>
      <c r="M27" s="0">
        <f>150-I27-K27-J27-L27</f>
        <v/>
      </c>
      <c r="N27" s="0">
        <f>K27-J27</f>
        <v/>
      </c>
      <c r="O27" s="0">
        <f>I27+K27</f>
        <v/>
      </c>
      <c r="Q27" s="0" t="n">
        <v>17066.960938</v>
      </c>
      <c r="R27" s="0" t="n">
        <v>224.779297000001</v>
      </c>
    </row>
    <row r="28">
      <c r="A28" s="0" t="inlineStr">
        <is>
          <t>DO_20260324.xlsx</t>
        </is>
      </c>
      <c r="B28" s="0" t="n">
        <v>6</v>
      </c>
      <c r="C28" s="0" t="n">
        <v>1</v>
      </c>
      <c r="D28" s="0" t="n">
        <v>16</v>
      </c>
      <c r="E28" s="0" t="n">
        <v>18</v>
      </c>
      <c r="F28" s="0" t="n">
        <v>18</v>
      </c>
      <c r="G28" s="0" t="n">
        <v>0</v>
      </c>
      <c r="I28" s="0">
        <f>B28+C28</f>
        <v/>
      </c>
      <c r="J28" s="0">
        <f>D28</f>
        <v/>
      </c>
      <c r="K28" s="0">
        <f>E28+F28</f>
        <v/>
      </c>
      <c r="L28" s="0">
        <f>G28</f>
        <v/>
      </c>
      <c r="M28" s="0">
        <f>150-I28-K28-J28-L28</f>
        <v/>
      </c>
      <c r="N28" s="0">
        <f>K28-J28</f>
        <v/>
      </c>
      <c r="O28" s="0">
        <f>I28+K28</f>
        <v/>
      </c>
      <c r="Q28" s="0" t="n">
        <v>17209.929688</v>
      </c>
      <c r="R28" s="0" t="n">
        <v>-110.4296869999998</v>
      </c>
    </row>
    <row r="29">
      <c r="A29" s="0" t="inlineStr">
        <is>
          <t>DO_20260325.xlsx</t>
        </is>
      </c>
      <c r="B29" s="0" t="n">
        <v>4</v>
      </c>
      <c r="C29" s="0" t="n">
        <v>7</v>
      </c>
      <c r="D29" s="0" t="n">
        <v>3</v>
      </c>
      <c r="E29" s="0" t="n">
        <v>29</v>
      </c>
      <c r="F29" s="0" t="n">
        <v>8</v>
      </c>
      <c r="G29" s="0" t="n">
        <v>7</v>
      </c>
      <c r="I29" s="0">
        <f>B29+C29</f>
        <v/>
      </c>
      <c r="J29" s="0">
        <f>D29</f>
        <v/>
      </c>
      <c r="K29" s="0">
        <f>E29+F29</f>
        <v/>
      </c>
      <c r="L29" s="0">
        <f>G29</f>
        <v/>
      </c>
      <c r="M29" s="0">
        <f>150-I29-K29-J29-L29</f>
        <v/>
      </c>
      <c r="N29" s="0">
        <f>K29-J29</f>
        <v/>
      </c>
      <c r="O29" s="0">
        <f>I29+K29</f>
        <v/>
      </c>
      <c r="Q29" s="0" t="n">
        <v>17396.519531</v>
      </c>
      <c r="R29" s="0" t="n">
        <v>148.8300789999994</v>
      </c>
    </row>
    <row r="30">
      <c r="A30" s="0" t="inlineStr">
        <is>
          <t>DO_20260326.xlsx</t>
        </is>
      </c>
      <c r="B30" s="0" t="n">
        <v>10</v>
      </c>
      <c r="C30" s="0" t="n">
        <v>3</v>
      </c>
      <c r="D30" s="0" t="n">
        <v>1</v>
      </c>
      <c r="E30" s="0" t="n">
        <v>23</v>
      </c>
      <c r="F30" s="0" t="n">
        <v>6</v>
      </c>
      <c r="G30" s="0" t="n">
        <v>14</v>
      </c>
      <c r="I30" s="0">
        <f>B30+C30</f>
        <v/>
      </c>
      <c r="J30" s="0">
        <f>D30</f>
        <v/>
      </c>
      <c r="K30" s="0">
        <f>E30+F30</f>
        <v/>
      </c>
      <c r="L30" s="0">
        <f>G30</f>
        <v/>
      </c>
      <c r="M30" s="0">
        <f>150-I30-K30-J30-L30</f>
        <v/>
      </c>
      <c r="N30" s="0">
        <f>K30-J30</f>
        <v/>
      </c>
      <c r="O30" s="0">
        <f>I30+K30</f>
        <v/>
      </c>
      <c r="Q30" s="0" t="n">
        <v>17490.289063</v>
      </c>
      <c r="R30" s="0" t="n">
        <v>151.9003900000025</v>
      </c>
    </row>
    <row r="31">
      <c r="A31" s="0" t="inlineStr">
        <is>
          <t>DO_20260327.xlsx</t>
        </is>
      </c>
      <c r="B31" s="0" t="n">
        <v>6</v>
      </c>
      <c r="C31" s="0" t="n">
        <v>1</v>
      </c>
      <c r="D31" s="0" t="n">
        <v>7</v>
      </c>
      <c r="E31" s="0" t="n">
        <v>27</v>
      </c>
      <c r="F31" s="0" t="n">
        <v>15</v>
      </c>
      <c r="G31" s="0" t="n">
        <v>2</v>
      </c>
      <c r="I31" s="0">
        <f>B31+C31</f>
        <v/>
      </c>
      <c r="J31" s="0">
        <f>D31</f>
        <v/>
      </c>
      <c r="K31" s="0">
        <f>E31+F31</f>
        <v/>
      </c>
      <c r="L31" s="0">
        <f>G31</f>
        <v/>
      </c>
      <c r="M31" s="0">
        <f>150-I31-K31-J31-L31</f>
        <v/>
      </c>
      <c r="N31" s="0">
        <f>K31-J31</f>
        <v/>
      </c>
      <c r="O31" s="0">
        <f>I31+K31</f>
        <v/>
      </c>
      <c r="Q31" s="0" t="n">
        <v>17473.990234</v>
      </c>
      <c r="R31" s="0" t="n">
        <v>105.6796880000002</v>
      </c>
    </row>
    <row r="32">
      <c r="A32" s="0" t="inlineStr">
        <is>
          <t>DO_20260330.xlsx</t>
        </is>
      </c>
      <c r="B32" s="0" t="n">
        <v>4</v>
      </c>
      <c r="C32" s="0" t="n">
        <v>1</v>
      </c>
      <c r="D32" s="0" t="n">
        <v>3</v>
      </c>
      <c r="E32" s="0" t="n">
        <v>37</v>
      </c>
      <c r="F32" s="0" t="n">
        <v>10</v>
      </c>
      <c r="G32" s="0" t="n">
        <v>5</v>
      </c>
      <c r="I32" s="0">
        <f>B32+C32</f>
        <v/>
      </c>
      <c r="J32" s="0">
        <f>D32</f>
        <v/>
      </c>
      <c r="K32" s="0">
        <f>E32+F32</f>
        <v/>
      </c>
      <c r="L32" s="0">
        <f>G32</f>
        <v/>
      </c>
      <c r="M32" s="0">
        <f>150-I32-K32-J32-L32</f>
        <v/>
      </c>
      <c r="N32" s="0">
        <f>K32-J32</f>
        <v/>
      </c>
      <c r="O32" s="0">
        <f>I32+K32</f>
        <v/>
      </c>
      <c r="Q32" s="0" t="n">
        <v>17319.759766</v>
      </c>
      <c r="R32" s="0" t="n">
        <v>10.18945299999905</v>
      </c>
    </row>
    <row r="33">
      <c r="A33" s="0" t="inlineStr">
        <is>
          <t>DO_20260331.xlsx</t>
        </is>
      </c>
      <c r="B33" s="0" t="n">
        <v>5</v>
      </c>
      <c r="C33" s="0" t="n">
        <v>9</v>
      </c>
      <c r="D33" s="0" t="n">
        <v>0</v>
      </c>
      <c r="E33" s="0" t="n">
        <v>20</v>
      </c>
      <c r="F33" s="0" t="n">
        <v>1</v>
      </c>
      <c r="G33" s="0" t="n">
        <v>27</v>
      </c>
      <c r="I33" s="0">
        <f>B33+C33</f>
        <v/>
      </c>
      <c r="J33" s="0">
        <f>D33</f>
        <v/>
      </c>
      <c r="K33" s="0">
        <f>E33+F33</f>
        <v/>
      </c>
      <c r="L33" s="0">
        <f>G33</f>
        <v/>
      </c>
      <c r="M33" s="0">
        <f>150-I33-K33-J33-L33</f>
        <v/>
      </c>
      <c r="N33" s="0">
        <f>K33-J33</f>
        <v/>
      </c>
      <c r="O33" s="0">
        <f>I33+K33</f>
        <v/>
      </c>
      <c r="Q33" s="0" t="n">
        <v>17516.919922</v>
      </c>
      <c r="R33" s="0" t="n">
        <v>-136.1601560000017</v>
      </c>
    </row>
    <row r="34">
      <c r="A34" s="0" t="inlineStr">
        <is>
          <t>DO_20260401.xlsx</t>
        </is>
      </c>
      <c r="B34" s="0" t="n">
        <v>13</v>
      </c>
      <c r="C34" s="0" t="n">
        <v>6</v>
      </c>
      <c r="D34" s="0" t="n">
        <v>1</v>
      </c>
      <c r="E34" s="0" t="n">
        <v>16</v>
      </c>
      <c r="F34" s="0" t="n">
        <v>12</v>
      </c>
      <c r="G34" s="0" t="n">
        <v>5</v>
      </c>
      <c r="I34" s="0">
        <f>B34+C34</f>
        <v/>
      </c>
      <c r="J34" s="0">
        <f>D34</f>
        <v/>
      </c>
      <c r="K34" s="0">
        <f>E34+F34</f>
        <v/>
      </c>
      <c r="L34" s="0">
        <f>G34</f>
        <v/>
      </c>
      <c r="M34" s="0">
        <f>150-I34-K34-J34-L34</f>
        <v/>
      </c>
      <c r="N34" s="0">
        <f>K34-J34</f>
        <v/>
      </c>
      <c r="O34" s="0">
        <f>I34+K34</f>
        <v/>
      </c>
      <c r="Q34" s="0" t="n">
        <v>17495.300781</v>
      </c>
      <c r="R34" s="0" t="n">
        <v>136.4003909999992</v>
      </c>
    </row>
    <row r="35">
      <c r="A35" s="0" t="inlineStr">
        <is>
          <t>DO_20260402.xlsx</t>
        </is>
      </c>
      <c r="B35" s="0" t="n">
        <v>14</v>
      </c>
      <c r="C35" s="0" t="n">
        <v>3</v>
      </c>
      <c r="D35" s="0" t="n">
        <v>5</v>
      </c>
      <c r="E35" s="0" t="n">
        <v>22</v>
      </c>
      <c r="F35" s="0" t="n">
        <v>9</v>
      </c>
      <c r="G35" s="0" t="n">
        <v>6</v>
      </c>
      <c r="I35" s="0">
        <f>B35+C35</f>
        <v/>
      </c>
      <c r="J35" s="0">
        <f>D35</f>
        <v/>
      </c>
      <c r="K35" s="0">
        <f>E35+F35</f>
        <v/>
      </c>
      <c r="L35" s="0">
        <f>G35</f>
        <v/>
      </c>
      <c r="M35" s="0">
        <f>150-I35-K35-J35-L35</f>
        <v/>
      </c>
      <c r="N35" s="0">
        <f>K35-J35</f>
        <v/>
      </c>
      <c r="O35" s="0">
        <f>I35+K35</f>
        <v/>
      </c>
      <c r="Q35" s="0" t="n">
        <v>17428.869141</v>
      </c>
      <c r="R35" s="0" t="n">
        <v>-38.75</v>
      </c>
    </row>
    <row r="36">
      <c r="A36" s="0" t="inlineStr">
        <is>
          <t>DO_20260407.xlsx</t>
        </is>
      </c>
      <c r="B36" s="0" t="n">
        <v>9</v>
      </c>
      <c r="C36" s="0" t="n">
        <v>2</v>
      </c>
      <c r="D36" s="0" t="n">
        <v>8</v>
      </c>
      <c r="E36" s="0" t="n">
        <v>18</v>
      </c>
      <c r="F36" s="0" t="n">
        <v>7</v>
      </c>
      <c r="G36" s="0" t="n">
        <v>13</v>
      </c>
      <c r="I36" s="0">
        <f>B36+C36</f>
        <v/>
      </c>
      <c r="J36" s="0">
        <f>D36</f>
        <v/>
      </c>
      <c r="K36" s="0">
        <f>E36+F36</f>
        <v/>
      </c>
      <c r="L36" s="0">
        <f>G36</f>
        <v/>
      </c>
      <c r="M36" s="0">
        <f>150-I36-K36-J36-L36</f>
        <v/>
      </c>
      <c r="N36" s="0">
        <f>K36-J36</f>
        <v/>
      </c>
      <c r="O36" s="0">
        <f>I36+K36</f>
        <v/>
      </c>
      <c r="Q36" s="0" t="n">
        <v>17270.490234</v>
      </c>
      <c r="R36" s="0" t="n">
        <v>-105.5117180000016</v>
      </c>
    </row>
    <row r="37">
      <c r="A37" s="0" t="inlineStr">
        <is>
          <t>DO_20260408.xlsx</t>
        </is>
      </c>
      <c r="B37" s="0" t="n">
        <v>11</v>
      </c>
      <c r="C37" s="0" t="n">
        <v>10</v>
      </c>
      <c r="D37" s="0" t="n">
        <v>0</v>
      </c>
      <c r="E37" s="0" t="n">
        <v>19</v>
      </c>
      <c r="F37" s="0" t="n">
        <v>2</v>
      </c>
      <c r="G37" s="0" t="n">
        <v>6</v>
      </c>
      <c r="I37" s="0">
        <f>B37+C37</f>
        <v/>
      </c>
      <c r="J37" s="0">
        <f>D37</f>
        <v/>
      </c>
      <c r="K37" s="0">
        <f>E37+F37</f>
        <v/>
      </c>
      <c r="L37" s="0">
        <f>G37</f>
        <v/>
      </c>
      <c r="M37" s="0">
        <f>150-I37-K37-J37-L37</f>
        <v/>
      </c>
      <c r="N37" s="0">
        <f>K37-J37</f>
        <v/>
      </c>
      <c r="O37" s="0">
        <f>I37+K37</f>
        <v/>
      </c>
      <c r="Q37" s="0" t="n">
        <v>17304.330078</v>
      </c>
      <c r="R37" s="0" t="n">
        <v>-141.0390630000002</v>
      </c>
    </row>
    <row r="38">
      <c r="A38" s="0" t="inlineStr">
        <is>
          <t>DO_20260409.xlsx</t>
        </is>
      </c>
      <c r="B38" s="0" t="n">
        <v>18</v>
      </c>
      <c r="C38" s="0" t="n">
        <v>13</v>
      </c>
      <c r="D38" s="0" t="n">
        <v>3</v>
      </c>
      <c r="E38" s="0" t="n">
        <v>10</v>
      </c>
      <c r="F38" s="0" t="n">
        <v>3</v>
      </c>
      <c r="G38" s="0" t="n">
        <v>11</v>
      </c>
      <c r="I38" s="0">
        <f>B38+C38</f>
        <v/>
      </c>
      <c r="J38" s="0">
        <f>D38</f>
        <v/>
      </c>
      <c r="K38" s="0">
        <f>E38+F38</f>
        <v/>
      </c>
      <c r="L38" s="0">
        <f>G38</f>
        <v/>
      </c>
      <c r="M38" s="0">
        <f>150-I38-K38-J38-L38</f>
        <v/>
      </c>
      <c r="N38" s="0">
        <f>K38-J38</f>
        <v/>
      </c>
      <c r="O38" s="0">
        <f>I38+K38</f>
        <v/>
      </c>
      <c r="Q38" s="0" t="n">
        <v>17474.570313</v>
      </c>
      <c r="R38" s="0" t="n">
        <v>129.2910149999989</v>
      </c>
    </row>
    <row r="39">
      <c r="A39" s="0" t="inlineStr">
        <is>
          <t>DO_20260410.xlsx</t>
        </is>
      </c>
      <c r="B39" s="0" t="n">
        <v>18</v>
      </c>
      <c r="C39" s="0" t="n">
        <v>5</v>
      </c>
      <c r="D39" s="0" t="n">
        <v>13</v>
      </c>
      <c r="E39" s="0" t="n">
        <v>12</v>
      </c>
      <c r="F39" s="0" t="n">
        <v>8</v>
      </c>
      <c r="G39" s="0" t="n">
        <v>1</v>
      </c>
      <c r="I39" s="0">
        <f>B39+C39</f>
        <v/>
      </c>
      <c r="J39" s="0">
        <f>D39</f>
        <v/>
      </c>
      <c r="K39" s="0">
        <f>E39+F39</f>
        <v/>
      </c>
      <c r="L39" s="0">
        <f>G39</f>
        <v/>
      </c>
      <c r="M39" s="0">
        <f>150-I39-K39-J39-L39</f>
        <v/>
      </c>
      <c r="N39" s="0">
        <f>K39-J39</f>
        <v/>
      </c>
      <c r="O39" s="0">
        <f>I39+K39</f>
        <v/>
      </c>
      <c r="Q39" s="0" t="n">
        <v>17446.310547</v>
      </c>
      <c r="R39" s="0" t="n">
        <v>204.2910159999992</v>
      </c>
    </row>
    <row r="40">
      <c r="A40" s="0" t="inlineStr">
        <is>
          <t>DO_20260413.xlsx</t>
        </is>
      </c>
      <c r="B40" s="0" t="n">
        <v>14</v>
      </c>
      <c r="C40" s="0" t="n">
        <v>6</v>
      </c>
      <c r="D40" s="0" t="n">
        <v>9</v>
      </c>
      <c r="E40" s="0" t="n">
        <v>16</v>
      </c>
      <c r="F40" s="0" t="n">
        <v>10</v>
      </c>
      <c r="G40" s="0" t="n">
        <v>4</v>
      </c>
      <c r="I40" s="0">
        <f>B40+C40</f>
        <v/>
      </c>
      <c r="J40" s="0">
        <f>D40</f>
        <v/>
      </c>
      <c r="K40" s="0">
        <f>E40+F40</f>
        <v/>
      </c>
      <c r="L40" s="0">
        <f>G40</f>
        <v/>
      </c>
      <c r="M40" s="0">
        <f>150-I40-K40-J40-L40</f>
        <v/>
      </c>
      <c r="N40" s="0">
        <f>K40-J40</f>
        <v/>
      </c>
      <c r="O40" s="0">
        <f>I40+K40</f>
        <v/>
      </c>
      <c r="Q40" s="0" t="n">
        <v>17434.900391</v>
      </c>
      <c r="R40" s="0" t="n">
        <v>-5.849609000000783</v>
      </c>
    </row>
    <row r="41">
      <c r="A41" s="0" t="inlineStr">
        <is>
          <t>DO_20260414.xlsx</t>
        </is>
      </c>
      <c r="B41" s="0" t="n">
        <v>6</v>
      </c>
      <c r="C41" s="0" t="n">
        <v>0</v>
      </c>
      <c r="D41" s="0" t="n">
        <v>14</v>
      </c>
      <c r="E41" s="0" t="n">
        <v>24</v>
      </c>
      <c r="F41" s="0" t="n">
        <v>27</v>
      </c>
      <c r="G41" s="0" t="n">
        <v>2</v>
      </c>
      <c r="I41" s="0">
        <f>B41+C41</f>
        <v/>
      </c>
      <c r="J41" s="0">
        <f>D41</f>
        <v/>
      </c>
      <c r="K41" s="0">
        <f>E41+F41</f>
        <v/>
      </c>
      <c r="L41" s="0">
        <f>G41</f>
        <v/>
      </c>
      <c r="M41" s="0">
        <f>150-I41-K41-J41-L41</f>
        <v/>
      </c>
      <c r="N41" s="0">
        <f>K41-J41</f>
        <v/>
      </c>
      <c r="O41" s="0">
        <f>I41+K41</f>
        <v/>
      </c>
      <c r="Q41" s="0" t="n">
        <v>17354</v>
      </c>
      <c r="R41" s="0" t="n">
        <v>-28.87890600000173</v>
      </c>
    </row>
    <row r="42">
      <c r="A42" s="0" t="inlineStr">
        <is>
          <t>DO_20260415.xlsx</t>
        </is>
      </c>
      <c r="B42" s="0" t="n">
        <v>1</v>
      </c>
      <c r="C42" s="0" t="n">
        <v>3</v>
      </c>
      <c r="D42" s="0" t="n">
        <v>5</v>
      </c>
      <c r="E42" s="0" t="n">
        <v>41</v>
      </c>
      <c r="F42" s="0" t="n">
        <v>18</v>
      </c>
      <c r="G42" s="0" t="n">
        <v>10</v>
      </c>
      <c r="I42" s="0">
        <f>B42+C42</f>
        <v/>
      </c>
      <c r="J42" s="0">
        <f>D42</f>
        <v/>
      </c>
      <c r="K42" s="0">
        <f>E42+F42</f>
        <v/>
      </c>
      <c r="L42" s="0">
        <f>G42</f>
        <v/>
      </c>
      <c r="M42" s="0">
        <f>150-I42-K42-J42-L42</f>
        <v/>
      </c>
      <c r="N42" s="0">
        <f>K42-J42</f>
        <v/>
      </c>
      <c r="O42" s="0">
        <f>I42+K42</f>
        <v/>
      </c>
      <c r="Q42" s="0" t="n">
        <v>17278.699219</v>
      </c>
      <c r="R42" s="0" t="n">
        <v>-80.01953100000173</v>
      </c>
    </row>
    <row r="43">
      <c r="A43" s="0" t="inlineStr">
        <is>
          <t>DO_20260416.xlsx</t>
        </is>
      </c>
      <c r="B43" s="0" t="n">
        <v>3</v>
      </c>
      <c r="C43" s="0" t="n">
        <v>11</v>
      </c>
      <c r="D43" s="0" t="n">
        <v>1</v>
      </c>
      <c r="E43" s="0" t="n">
        <v>18</v>
      </c>
      <c r="F43" s="0" t="n">
        <v>6</v>
      </c>
      <c r="G43" s="0" t="n">
        <v>41</v>
      </c>
      <c r="I43" s="0">
        <f>B43+C43</f>
        <v/>
      </c>
      <c r="J43" s="0">
        <f>D43</f>
        <v/>
      </c>
      <c r="K43" s="0">
        <f>E43+F43</f>
        <v/>
      </c>
      <c r="L43" s="0">
        <f>G43</f>
        <v/>
      </c>
      <c r="M43" s="0">
        <f>150-I43-K43-J43-L43</f>
        <v/>
      </c>
      <c r="N43" s="0">
        <f>K43-J43</f>
        <v/>
      </c>
      <c r="O43" s="0">
        <f>I43+K43</f>
        <v/>
      </c>
      <c r="Q43" s="0" t="n">
        <v>17276.789063</v>
      </c>
      <c r="R43" s="0" t="n">
        <v>-53.640625</v>
      </c>
    </row>
    <row r="44">
      <c r="A44" s="0" t="inlineStr">
        <is>
          <t>DO_20260417.xlsx</t>
        </is>
      </c>
      <c r="B44" s="0" t="n">
        <v>9</v>
      </c>
      <c r="C44" s="0" t="n">
        <v>5</v>
      </c>
      <c r="D44" s="0" t="n">
        <v>5</v>
      </c>
      <c r="E44" s="0" t="n">
        <v>17</v>
      </c>
      <c r="F44" s="0" t="n">
        <v>17</v>
      </c>
      <c r="G44" s="0" t="n">
        <v>7</v>
      </c>
      <c r="I44" s="0">
        <f>B44+C44</f>
        <v/>
      </c>
      <c r="J44" s="0">
        <f>D44</f>
        <v/>
      </c>
      <c r="K44" s="0">
        <f>E44+F44</f>
        <v/>
      </c>
      <c r="L44" s="0">
        <f>G44</f>
        <v/>
      </c>
      <c r="M44" s="0">
        <f>150-I44-K44-J44-L44</f>
        <v/>
      </c>
      <c r="N44" s="0">
        <f>K44-J44</f>
        <v/>
      </c>
      <c r="O44" s="0">
        <f>I44+K44</f>
        <v/>
      </c>
      <c r="Q44" s="0" t="n">
        <v>16925.820313</v>
      </c>
      <c r="R44" s="0" t="n">
        <v>-2.5</v>
      </c>
    </row>
    <row r="45">
      <c r="A45" s="0" t="inlineStr">
        <is>
          <t>DO_20260420.xlsx</t>
        </is>
      </c>
      <c r="B45" s="0" t="n">
        <v>12</v>
      </c>
      <c r="C45" s="0" t="n">
        <v>7</v>
      </c>
      <c r="D45" s="0" t="n">
        <v>2</v>
      </c>
      <c r="E45" s="0" t="n">
        <v>23</v>
      </c>
      <c r="F45" s="0" t="n">
        <v>8</v>
      </c>
      <c r="G45" s="0" t="n">
        <v>11</v>
      </c>
      <c r="I45" s="0">
        <f>B45+C45</f>
        <v/>
      </c>
      <c r="J45" s="0">
        <f>D45</f>
        <v/>
      </c>
      <c r="K45" s="0">
        <f>E45+F45</f>
        <v/>
      </c>
      <c r="L45" s="0">
        <f>G45</f>
        <v/>
      </c>
      <c r="M45" s="0">
        <f>150-I45-K45-J45-L45</f>
        <v/>
      </c>
      <c r="N45" s="0">
        <f>K45-J45</f>
        <v/>
      </c>
      <c r="O45" s="0">
        <f>I45+K45</f>
        <v/>
      </c>
      <c r="Q45" s="0" t="n">
        <v>17078.220703</v>
      </c>
      <c r="R45" s="0" t="n">
        <v>-270.96875</v>
      </c>
    </row>
    <row r="46">
      <c r="A46" s="0" t="inlineStr">
        <is>
          <t>DO_20260421.xlsx</t>
        </is>
      </c>
      <c r="B46" s="0" t="n">
        <v>9</v>
      </c>
      <c r="C46" s="0" t="n">
        <v>5</v>
      </c>
      <c r="D46" s="0" t="n">
        <v>10</v>
      </c>
      <c r="E46" s="0" t="n">
        <v>28</v>
      </c>
      <c r="F46" s="0" t="n">
        <v>22</v>
      </c>
      <c r="G46" s="0" t="n">
        <v>3</v>
      </c>
      <c r="I46" s="0">
        <f>B46+C46</f>
        <v/>
      </c>
      <c r="J46" s="0">
        <f>D46</f>
        <v/>
      </c>
      <c r="K46" s="0">
        <f>E46+F46</f>
        <v/>
      </c>
      <c r="L46" s="0">
        <f>G46</f>
        <v/>
      </c>
      <c r="M46" s="0">
        <f>150-I46-K46-J46-L46</f>
        <v/>
      </c>
      <c r="N46" s="0">
        <f>K46-J46</f>
        <v/>
      </c>
      <c r="O46" s="0">
        <f>I46+K46</f>
        <v/>
      </c>
      <c r="Q46" s="0" t="n">
        <v>17260.189453</v>
      </c>
      <c r="R46" s="0" t="n">
        <v>80.15038999999888</v>
      </c>
    </row>
    <row r="47">
      <c r="A47" s="0" t="inlineStr">
        <is>
          <t>DO_20260422.xlsx</t>
        </is>
      </c>
      <c r="B47" s="0" t="n">
        <v>3</v>
      </c>
      <c r="C47" s="0" t="n">
        <v>0</v>
      </c>
      <c r="D47" s="0" t="n">
        <v>11</v>
      </c>
      <c r="E47" s="0" t="n">
        <v>46</v>
      </c>
      <c r="F47" s="0" t="n">
        <v>11</v>
      </c>
      <c r="G47" s="0" t="n">
        <v>4</v>
      </c>
      <c r="I47" s="0">
        <f>B47+C47</f>
        <v/>
      </c>
      <c r="J47" s="0">
        <f>D47</f>
        <v/>
      </c>
      <c r="K47" s="0">
        <f>E47+F47</f>
        <v/>
      </c>
      <c r="L47" s="0">
        <f>G47</f>
        <v/>
      </c>
      <c r="M47" s="0">
        <f>150-I47-K47-J47-L47</f>
        <v/>
      </c>
      <c r="N47" s="0">
        <f>K47-J47</f>
        <v/>
      </c>
      <c r="O47" s="0">
        <f>I47+K47</f>
        <v/>
      </c>
      <c r="Q47" s="0" t="n">
        <v>17313.769531</v>
      </c>
      <c r="R47" s="0" t="n">
        <v>129.4492189999983</v>
      </c>
    </row>
    <row r="48">
      <c r="A48" s="0" t="inlineStr">
        <is>
          <t>DO_20260423.xlsx</t>
        </is>
      </c>
      <c r="B48" s="0" t="n">
        <v>2</v>
      </c>
      <c r="C48" s="0" t="n">
        <v>8</v>
      </c>
      <c r="D48" s="0" t="n">
        <v>1</v>
      </c>
      <c r="E48" s="0" t="n">
        <v>24</v>
      </c>
      <c r="F48" s="0" t="n">
        <v>3</v>
      </c>
      <c r="G48" s="0" t="n">
        <v>33</v>
      </c>
      <c r="I48" s="0">
        <f>B48+C48</f>
        <v/>
      </c>
      <c r="J48" s="0">
        <f>D48</f>
        <v/>
      </c>
      <c r="K48" s="0">
        <f>E48+F48</f>
        <v/>
      </c>
      <c r="L48" s="0">
        <f>G48</f>
        <v/>
      </c>
      <c r="M48" s="0">
        <f>150-I48-K48-J48-L48</f>
        <v/>
      </c>
      <c r="N48" s="0">
        <f>K48-J48</f>
        <v/>
      </c>
      <c r="O48" s="0">
        <f>I48+K48</f>
        <v/>
      </c>
      <c r="Q48" s="0" t="n">
        <v>17181.439453</v>
      </c>
      <c r="R48" s="0" t="n">
        <v>35.66015600000173</v>
      </c>
    </row>
    <row r="49">
      <c r="A49" s="0" t="inlineStr">
        <is>
          <t>DO_20260424.xlsx</t>
        </is>
      </c>
      <c r="B49" s="0" t="n">
        <v>9</v>
      </c>
      <c r="C49" s="0" t="n">
        <v>4</v>
      </c>
      <c r="D49" s="0" t="n">
        <v>1</v>
      </c>
      <c r="E49" s="0" t="n">
        <v>23</v>
      </c>
      <c r="F49" s="0" t="n">
        <v>9</v>
      </c>
      <c r="G49" s="0" t="n">
        <v>4</v>
      </c>
      <c r="I49" s="0">
        <f>B49+C49</f>
        <v/>
      </c>
      <c r="J49" s="0">
        <f>D49</f>
        <v/>
      </c>
      <c r="K49" s="0">
        <f>E49+F49</f>
        <v/>
      </c>
      <c r="L49" s="0">
        <f>G49</f>
        <v/>
      </c>
      <c r="M49" s="0">
        <f>150-I49-K49-J49-L49</f>
        <v/>
      </c>
      <c r="N49" s="0">
        <f>K49-J49</f>
        <v/>
      </c>
      <c r="O49" s="0">
        <f>I49+K49</f>
        <v/>
      </c>
      <c r="Q49" s="0" t="n">
        <v>16855.460938</v>
      </c>
      <c r="R49" s="0" t="n">
        <v>-105.451172000001</v>
      </c>
    </row>
    <row r="50">
      <c r="A50" s="0" t="inlineStr">
        <is>
          <t>DO_20260427.xlsx</t>
        </is>
      </c>
      <c r="B50" s="0" t="n">
        <v>9</v>
      </c>
      <c r="C50" s="0" t="n">
        <v>7</v>
      </c>
      <c r="D50" s="0" t="n">
        <v>4</v>
      </c>
      <c r="E50" s="0" t="n">
        <v>17</v>
      </c>
      <c r="F50" s="0" t="n">
        <v>4</v>
      </c>
      <c r="G50" s="0" t="n">
        <v>15</v>
      </c>
      <c r="I50" s="0">
        <f>B50+C50</f>
        <v/>
      </c>
      <c r="J50" s="0">
        <f>D50</f>
        <v/>
      </c>
      <c r="K50" s="0">
        <f>E50+F50</f>
        <v/>
      </c>
      <c r="L50" s="0">
        <f>G50</f>
        <v/>
      </c>
      <c r="M50" s="0">
        <f>150-I50-K50-J50-L50</f>
        <v/>
      </c>
      <c r="N50" s="0">
        <f>K50-J50</f>
        <v/>
      </c>
      <c r="O50" s="0">
        <f>I50+K50</f>
        <v/>
      </c>
      <c r="Q50" s="0" t="n">
        <v>16934.769531</v>
      </c>
      <c r="R50" s="0" t="n">
        <v>-272.3984369999998</v>
      </c>
    </row>
    <row r="51">
      <c r="A51" s="0" t="inlineStr">
        <is>
          <t>DO_20260428.xlsx</t>
        </is>
      </c>
      <c r="B51" s="0" t="n">
        <v>16</v>
      </c>
      <c r="C51" s="0" t="n">
        <v>11</v>
      </c>
      <c r="D51" s="0" t="n">
        <v>0</v>
      </c>
      <c r="E51" s="0" t="n">
        <v>4</v>
      </c>
      <c r="F51" s="0" t="n">
        <v>0</v>
      </c>
      <c r="G51" s="0" t="n">
        <v>17</v>
      </c>
      <c r="I51" s="0">
        <f>B51+C51</f>
        <v/>
      </c>
      <c r="J51" s="0">
        <f>D51</f>
        <v/>
      </c>
      <c r="K51" s="0">
        <f>E51+F51</f>
        <v/>
      </c>
      <c r="L51" s="0">
        <f>G51</f>
        <v/>
      </c>
      <c r="M51" s="0">
        <f>150-I51-K51-J51-L51</f>
        <v/>
      </c>
      <c r="N51" s="0">
        <f>K51-J51</f>
        <v/>
      </c>
      <c r="O51" s="0">
        <f>I51+K51</f>
        <v/>
      </c>
      <c r="Q51" s="0" t="n">
        <v>16570.890625</v>
      </c>
      <c r="R51" s="0" t="n">
        <v>48.19921800000157</v>
      </c>
    </row>
    <row r="52">
      <c r="A52" s="0" t="inlineStr">
        <is>
          <t>DO_20260429.xlsx</t>
        </is>
      </c>
      <c r="B52" s="0" t="n">
        <v>23</v>
      </c>
      <c r="C52" s="0" t="n">
        <v>19</v>
      </c>
      <c r="D52" s="0" t="n">
        <v>4</v>
      </c>
      <c r="E52" s="0" t="n">
        <v>3</v>
      </c>
      <c r="F52" s="0" t="n">
        <v>4</v>
      </c>
      <c r="G52" s="0" t="n">
        <v>1</v>
      </c>
      <c r="I52" s="0">
        <f>B52+C52</f>
        <v/>
      </c>
      <c r="J52" s="0">
        <f>D52</f>
        <v/>
      </c>
      <c r="K52" s="0">
        <f>E52+F52</f>
        <v/>
      </c>
      <c r="L52" s="0">
        <f>G52</f>
        <v/>
      </c>
      <c r="M52" s="0">
        <f>150-I52-K52-J52-L52</f>
        <v/>
      </c>
      <c r="N52" s="0">
        <f>K52-J52</f>
        <v/>
      </c>
      <c r="O52" s="0">
        <f>I52+K52</f>
        <v/>
      </c>
      <c r="Q52" s="0" t="n">
        <v>16408.349609</v>
      </c>
      <c r="R52" s="0" t="n">
        <v>-312.109375</v>
      </c>
    </row>
    <row r="53">
      <c r="A53" s="0" t="inlineStr">
        <is>
          <t>DO_20260430.xlsx</t>
        </is>
      </c>
      <c r="B53" s="0" t="n">
        <v>38</v>
      </c>
      <c r="C53" s="0" t="n">
        <v>5</v>
      </c>
      <c r="D53" s="0" t="n">
        <v>4</v>
      </c>
      <c r="E53" s="0" t="n">
        <v>2</v>
      </c>
      <c r="F53" s="0" t="n">
        <v>0</v>
      </c>
      <c r="G53" s="0" t="n">
        <v>5</v>
      </c>
      <c r="I53" s="0">
        <f>B53+C53</f>
        <v/>
      </c>
      <c r="J53" s="0">
        <f>D53</f>
        <v/>
      </c>
      <c r="K53" s="0">
        <f>E53+F53</f>
        <v/>
      </c>
      <c r="L53" s="0">
        <f>G53</f>
        <v/>
      </c>
      <c r="M53" s="0">
        <f>150-I53-K53-J53-L53</f>
        <v/>
      </c>
      <c r="N53" s="0">
        <f>K53-J53</f>
        <v/>
      </c>
      <c r="O53" s="0">
        <f>I53+K53</f>
        <v/>
      </c>
      <c r="Q53" s="0" t="n">
        <v>16460.75</v>
      </c>
      <c r="R53" s="0" t="n">
        <v>-192.169922000001</v>
      </c>
    </row>
    <row r="54">
      <c r="A54" s="0" t="inlineStr">
        <is>
          <t>DO_20260504.xlsx</t>
        </is>
      </c>
      <c r="B54" s="0" t="n">
        <v>31</v>
      </c>
      <c r="C54" s="0" t="n">
        <v>8</v>
      </c>
      <c r="D54" s="0" t="n">
        <v>12</v>
      </c>
      <c r="E54" s="0" t="n">
        <v>0</v>
      </c>
      <c r="F54" s="0" t="n">
        <v>4</v>
      </c>
      <c r="G54" s="0" t="n">
        <v>2</v>
      </c>
      <c r="I54" s="0">
        <f>B54+C54</f>
        <v/>
      </c>
      <c r="J54" s="0">
        <f>D54</f>
        <v/>
      </c>
      <c r="K54" s="0">
        <f>E54+F54</f>
        <v/>
      </c>
      <c r="L54" s="0">
        <f>G54</f>
        <v/>
      </c>
      <c r="M54" s="0">
        <f>150-I54-K54-J54-L54</f>
        <v/>
      </c>
      <c r="N54" s="0">
        <f>K54-J54</f>
        <v/>
      </c>
      <c r="O54" s="0">
        <f>I54+K54</f>
        <v/>
      </c>
      <c r="Q54" s="0" t="n">
        <v>16393.160156</v>
      </c>
      <c r="R54" s="0" t="n">
        <v>98.48046900000008</v>
      </c>
    </row>
    <row r="55">
      <c r="A55" s="0" t="inlineStr">
        <is>
          <t>DO_20260505.xlsx</t>
        </is>
      </c>
      <c r="B55" s="0" t="n">
        <v>30</v>
      </c>
      <c r="C55" s="0" t="n">
        <v>14</v>
      </c>
      <c r="D55" s="0" t="n">
        <v>9</v>
      </c>
      <c r="E55" s="0" t="n">
        <v>4</v>
      </c>
      <c r="F55" s="0" t="n">
        <v>1</v>
      </c>
      <c r="G55" s="0" t="n">
        <v>0</v>
      </c>
      <c r="I55" s="0">
        <f>B55+C55</f>
        <v/>
      </c>
      <c r="J55" s="0">
        <f>D55</f>
        <v/>
      </c>
      <c r="K55" s="0">
        <f>E55+F55</f>
        <v/>
      </c>
      <c r="L55" s="0">
        <f>G55</f>
        <v/>
      </c>
      <c r="M55" s="0">
        <f>150-I55-K55-J55-L55</f>
        <v/>
      </c>
      <c r="N55" s="0">
        <f>K55-J55</f>
        <v/>
      </c>
      <c r="O55" s="0">
        <f>I55+K55</f>
        <v/>
      </c>
      <c r="Q55" s="0" t="n">
        <v>16713.859375</v>
      </c>
      <c r="R55" s="0" t="n">
        <v>-95.05078199999843</v>
      </c>
    </row>
    <row r="56">
      <c r="A56" s="0" t="inlineStr">
        <is>
          <t>DO_20260506.xlsx</t>
        </is>
      </c>
      <c r="B56" s="0" t="n">
        <v>35</v>
      </c>
      <c r="C56" s="0" t="n">
        <v>13</v>
      </c>
      <c r="D56" s="0" t="n">
        <v>9</v>
      </c>
      <c r="E56" s="0" t="n">
        <v>2</v>
      </c>
      <c r="F56" s="0" t="n">
        <v>1</v>
      </c>
      <c r="G56" s="0" t="n">
        <v>3</v>
      </c>
      <c r="I56" s="0">
        <f>B56+C56</f>
        <v/>
      </c>
      <c r="J56" s="0">
        <f>D56</f>
        <v/>
      </c>
      <c r="K56" s="0">
        <f>E56+F56</f>
        <v/>
      </c>
      <c r="L56" s="0">
        <f>G56</f>
        <v/>
      </c>
      <c r="M56" s="0">
        <f>150-I56-K56-J56-L56</f>
        <v/>
      </c>
      <c r="N56" s="0">
        <f>K56-J56</f>
        <v/>
      </c>
      <c r="O56" s="0">
        <f>I56+K56</f>
        <v/>
      </c>
      <c r="Q56" s="0" t="n">
        <v>16640.429688</v>
      </c>
      <c r="R56" s="0" t="n">
        <v>248.2890619999998</v>
      </c>
    </row>
    <row r="57">
      <c r="A57" s="0" t="inlineStr">
        <is>
          <t>DO_20260507.xlsx</t>
        </is>
      </c>
      <c r="B57" s="0" t="n">
        <v>47</v>
      </c>
      <c r="C57" s="0" t="n">
        <v>28</v>
      </c>
      <c r="D57" s="0" t="n">
        <v>1</v>
      </c>
      <c r="E57" s="0" t="n">
        <v>1</v>
      </c>
      <c r="F57" s="0" t="n">
        <v>1</v>
      </c>
      <c r="G57" s="0" t="n">
        <v>2</v>
      </c>
      <c r="I57" s="0">
        <f>B57+C57</f>
        <v/>
      </c>
      <c r="J57" s="0">
        <f>D57</f>
        <v/>
      </c>
      <c r="K57" s="0">
        <f>E57+F57</f>
        <v/>
      </c>
      <c r="L57" s="0">
        <f>G57</f>
        <v/>
      </c>
      <c r="M57" s="0">
        <f>150-I57-K57-J57-L57</f>
        <v/>
      </c>
      <c r="N57" s="0">
        <f>K57-J57</f>
        <v/>
      </c>
      <c r="O57" s="0">
        <f>I57+K57</f>
        <v/>
      </c>
      <c r="Q57" s="0" t="n">
        <v>16462.839844</v>
      </c>
      <c r="R57" s="0" t="n">
        <v>-101.9199210000006</v>
      </c>
    </row>
    <row r="58">
      <c r="A58" s="0" t="inlineStr">
        <is>
          <t>DO_20260508.xlsx</t>
        </is>
      </c>
      <c r="B58" s="0" t="n">
        <v>61</v>
      </c>
      <c r="C58" s="0" t="n">
        <v>16</v>
      </c>
      <c r="D58" s="0" t="n">
        <v>14</v>
      </c>
      <c r="E58" s="0" t="n">
        <v>2</v>
      </c>
      <c r="F58" s="0" t="n">
        <v>3</v>
      </c>
      <c r="G58" s="0" t="n">
        <v>0</v>
      </c>
      <c r="I58" s="0">
        <f>B58+C58</f>
        <v/>
      </c>
      <c r="J58" s="0">
        <f>D58</f>
        <v/>
      </c>
      <c r="K58" s="0">
        <f>E58+F58</f>
        <v/>
      </c>
      <c r="L58" s="0">
        <f>G58</f>
        <v/>
      </c>
      <c r="M58" s="0">
        <f>150-I58-K58-J58-L58</f>
        <v/>
      </c>
      <c r="N58" s="0">
        <f>K58-J58</f>
        <v/>
      </c>
      <c r="O58" s="0">
        <f>I58+K58</f>
        <v/>
      </c>
      <c r="Q58" s="0" t="n">
        <v>16347.990234</v>
      </c>
      <c r="R58" s="0" t="n">
        <v>-126.8808590000008</v>
      </c>
    </row>
    <row r="59">
      <c r="A59" s="0" t="inlineStr">
        <is>
          <t>DO_20260511.xlsx</t>
        </is>
      </c>
      <c r="B59" s="0" t="n">
        <v>63</v>
      </c>
      <c r="C59" s="0" t="n">
        <v>7</v>
      </c>
      <c r="D59" s="0" t="n">
        <v>14</v>
      </c>
      <c r="E59" s="0" t="n">
        <v>5</v>
      </c>
      <c r="F59" s="0" t="n">
        <v>3</v>
      </c>
      <c r="G59" s="0" t="n">
        <v>0</v>
      </c>
      <c r="I59" s="0">
        <f>B59+C59</f>
        <v/>
      </c>
      <c r="J59" s="0">
        <f>D59</f>
        <v/>
      </c>
      <c r="K59" s="0">
        <f>E59+F59</f>
        <v/>
      </c>
      <c r="L59" s="0">
        <f>G59</f>
        <v/>
      </c>
      <c r="M59" s="0">
        <f>150-I59-K59-J59-L59</f>
        <v/>
      </c>
      <c r="N59" s="0">
        <f>K59-J59</f>
        <v/>
      </c>
      <c r="O59" s="0">
        <f>I59+K59</f>
        <v/>
      </c>
      <c r="Q59" s="0" t="n">
        <v>16387.279297</v>
      </c>
      <c r="R59" s="0" t="n">
        <v>-132.9902349999975</v>
      </c>
    </row>
    <row r="60">
      <c r="A60" s="0" t="inlineStr">
        <is>
          <t>DO_20260512.xlsx</t>
        </is>
      </c>
      <c r="B60" s="0" t="n">
        <v>57</v>
      </c>
      <c r="C60" s="0" t="n">
        <v>10</v>
      </c>
      <c r="D60" s="0" t="n">
        <v>13</v>
      </c>
      <c r="E60" s="0" t="n">
        <v>4</v>
      </c>
      <c r="F60" s="0" t="n">
        <v>2</v>
      </c>
      <c r="G60" s="0" t="n">
        <v>4</v>
      </c>
      <c r="I60" s="0">
        <f>B60+C60</f>
        <v/>
      </c>
      <c r="J60" s="0">
        <f>D60</f>
        <v/>
      </c>
      <c r="K60" s="0">
        <f>E60+F60</f>
        <v/>
      </c>
      <c r="L60" s="0">
        <f>G60</f>
        <v/>
      </c>
      <c r="M60" s="0">
        <f>150-I60-K60-J60-L60</f>
        <v/>
      </c>
      <c r="N60" s="0">
        <f>K60-J60</f>
        <v/>
      </c>
      <c r="O60" s="0">
        <f>I60+K60</f>
        <v/>
      </c>
      <c r="Q60" s="0" t="n">
        <v>16781.189453</v>
      </c>
      <c r="R60" s="0" t="n">
        <v>-5.230468999998266</v>
      </c>
    </row>
    <row r="61">
      <c r="A61" s="0" t="inlineStr">
        <is>
          <t>DO_20260513.xlsx</t>
        </is>
      </c>
      <c r="B61" s="0" t="n">
        <v>60</v>
      </c>
      <c r="C61" s="0" t="n">
        <v>7</v>
      </c>
      <c r="D61" s="0" t="n">
        <v>7</v>
      </c>
      <c r="E61" s="0" t="n">
        <v>6</v>
      </c>
      <c r="F61" s="0" t="n">
        <v>4</v>
      </c>
      <c r="G61" s="0" t="n">
        <v>0</v>
      </c>
      <c r="I61" s="0">
        <f>B61+C61</f>
        <v/>
      </c>
      <c r="J61" s="0">
        <f>D61</f>
        <v/>
      </c>
      <c r="K61" s="0">
        <f>E61+F61</f>
        <v/>
      </c>
      <c r="L61" s="0">
        <f>G61</f>
        <v/>
      </c>
      <c r="M61" s="0">
        <f>150-I61-K61-J61-L61</f>
        <v/>
      </c>
      <c r="N61" s="0">
        <f>K61-J61</f>
        <v/>
      </c>
      <c r="O61" s="0">
        <f>I61+K61</f>
        <v/>
      </c>
      <c r="Q61" s="0" t="n">
        <v>16705.460938</v>
      </c>
      <c r="R61" s="0" t="n">
        <v>354.4296869999998</v>
      </c>
    </row>
    <row r="62">
      <c r="A62" s="0" t="inlineStr">
        <is>
          <t>DO_20260514.xlsx</t>
        </is>
      </c>
      <c r="B62" s="0" t="n">
        <v>22</v>
      </c>
      <c r="C62" s="0" t="n">
        <v>3</v>
      </c>
      <c r="D62" s="0" t="n">
        <v>45</v>
      </c>
      <c r="E62" s="0" t="n">
        <v>9</v>
      </c>
      <c r="F62" s="0" t="n">
        <v>4</v>
      </c>
      <c r="G62" s="0" t="n">
        <v>1</v>
      </c>
      <c r="I62" s="0">
        <f>B62+C62</f>
        <v/>
      </c>
      <c r="J62" s="0">
        <f>D62</f>
        <v/>
      </c>
      <c r="K62" s="0">
        <f>E62+F62</f>
        <v/>
      </c>
      <c r="L62" s="0">
        <f>G62</f>
        <v/>
      </c>
      <c r="M62" s="0">
        <f>150-I62-K62-J62-L62</f>
        <v/>
      </c>
      <c r="N62" s="0">
        <f>K62-J62</f>
        <v/>
      </c>
      <c r="O62" s="0">
        <f>I62+K62</f>
        <v/>
      </c>
      <c r="Q62" s="0" t="n">
        <v>16900.669922</v>
      </c>
      <c r="R62" s="0" t="n">
        <v>-111.4785149999989</v>
      </c>
    </row>
    <row r="63">
      <c r="A63" s="0" t="inlineStr">
        <is>
          <t>DO_20260515.xlsx</t>
        </is>
      </c>
      <c r="B63" s="0" t="n">
        <v>13</v>
      </c>
      <c r="C63" s="0" t="n">
        <v>8</v>
      </c>
      <c r="D63" s="0" t="n">
        <v>12</v>
      </c>
      <c r="E63" s="0" t="n">
        <v>12</v>
      </c>
      <c r="F63" s="0" t="n">
        <v>3</v>
      </c>
      <c r="G63" s="0" t="n">
        <v>1</v>
      </c>
      <c r="I63" s="0">
        <f>B63+C63</f>
        <v/>
      </c>
      <c r="J63" s="0">
        <f>D63</f>
        <v/>
      </c>
      <c r="K63" s="0">
        <f>E63+F63</f>
        <v/>
      </c>
      <c r="L63" s="0">
        <f>G63</f>
        <v/>
      </c>
      <c r="M63" s="0">
        <f>150-I63-K63-J63-L63</f>
        <v/>
      </c>
      <c r="N63" s="0">
        <f>K63-J63</f>
        <v/>
      </c>
      <c r="O63" s="0">
        <f>I63+K63</f>
        <v/>
      </c>
      <c r="Q63" s="0" t="n">
        <v>16887.820313</v>
      </c>
      <c r="R63" s="0" t="n">
        <v>109.5507810000017</v>
      </c>
    </row>
    <row r="64">
      <c r="A64" s="0" t="inlineStr">
        <is>
          <t>DO_20260518.xlsx</t>
        </is>
      </c>
      <c r="B64" s="0" t="n">
        <v>11</v>
      </c>
      <c r="C64" s="0" t="n">
        <v>7</v>
      </c>
      <c r="D64" s="0" t="n">
        <v>10</v>
      </c>
      <c r="E64" s="0" t="n">
        <v>14</v>
      </c>
      <c r="F64" s="0" t="n">
        <v>5</v>
      </c>
      <c r="G64" s="0" t="n">
        <v>1</v>
      </c>
      <c r="I64" s="0">
        <f>B64+C64</f>
        <v/>
      </c>
      <c r="J64" s="0">
        <f>D64</f>
        <v/>
      </c>
      <c r="K64" s="0">
        <f>E64+F64</f>
        <v/>
      </c>
      <c r="L64" s="0">
        <f>G64</f>
        <v/>
      </c>
      <c r="M64" s="0">
        <f>150-I64-K64-J64-L64</f>
        <v/>
      </c>
      <c r="N64" s="0">
        <f>K64-J64</f>
        <v/>
      </c>
      <c r="O64" s="0">
        <f>I64+K64</f>
        <v/>
      </c>
      <c r="Q64" s="0" t="n">
        <v>16889.509766</v>
      </c>
      <c r="R64" s="0" t="n">
        <v>-48.3789059999981</v>
      </c>
    </row>
    <row r="65">
      <c r="A65" s="0" t="inlineStr">
        <is>
          <t>DO_20260519.xlsx</t>
        </is>
      </c>
      <c r="B65" s="0" t="n">
        <v>11</v>
      </c>
      <c r="C65" s="0" t="n">
        <v>4</v>
      </c>
      <c r="D65" s="0" t="n">
        <v>7</v>
      </c>
      <c r="E65" s="0" t="n">
        <v>11</v>
      </c>
      <c r="F65" s="0" t="n">
        <v>3</v>
      </c>
      <c r="G65" s="0" t="n">
        <v>8</v>
      </c>
      <c r="I65" s="0">
        <f>B65+C65</f>
        <v/>
      </c>
      <c r="J65" s="0">
        <f>D65</f>
        <v/>
      </c>
      <c r="K65" s="0">
        <f>E65+F65</f>
        <v/>
      </c>
      <c r="L65" s="0">
        <f>G65</f>
        <v/>
      </c>
      <c r="M65" s="0">
        <f>150-I65-K65-J65-L65</f>
        <v/>
      </c>
      <c r="N65" s="0">
        <f>K65-J65</f>
        <v/>
      </c>
      <c r="O65" s="0">
        <f>I65+K65</f>
        <v/>
      </c>
      <c r="Q65" s="0" t="n">
        <v>16888.740234</v>
      </c>
      <c r="R65" s="0" t="n">
        <v>-14.95117200000095</v>
      </c>
    </row>
    <row r="66">
      <c r="A66" s="0" t="inlineStr">
        <is>
          <t>DO_20260520.xlsx</t>
        </is>
      </c>
      <c r="B66" s="0" t="n">
        <v>9</v>
      </c>
      <c r="C66" s="0" t="n">
        <v>5</v>
      </c>
      <c r="D66" s="0" t="n">
        <v>6</v>
      </c>
      <c r="E66" s="0" t="n">
        <v>3</v>
      </c>
      <c r="F66" s="0" t="n">
        <v>4</v>
      </c>
      <c r="G66" s="0" t="n">
        <v>11</v>
      </c>
      <c r="I66" s="0">
        <f>B66+C66</f>
        <v/>
      </c>
      <c r="J66" s="0">
        <f>D66</f>
        <v/>
      </c>
      <c r="K66" s="0">
        <f>E66+F66</f>
        <v/>
      </c>
      <c r="L66" s="0">
        <f>G66</f>
        <v/>
      </c>
      <c r="M66" s="0">
        <f>150-I66-K66-J66-L66</f>
        <v/>
      </c>
      <c r="N66" s="0">
        <f>K66-J66</f>
        <v/>
      </c>
      <c r="O66" s="0">
        <f>I66+K66</f>
        <v/>
      </c>
      <c r="Q66" s="0" t="n">
        <v>16894.240234</v>
      </c>
      <c r="R66" s="0" t="n">
        <v>-11.58007899999939</v>
      </c>
    </row>
    <row r="67">
      <c r="A67" s="0" t="inlineStr">
        <is>
          <t>DO_20260521.xlsx</t>
        </is>
      </c>
      <c r="B67" s="0" t="n">
        <v>7</v>
      </c>
      <c r="C67" s="0" t="n">
        <v>6</v>
      </c>
      <c r="D67" s="0" t="n">
        <v>7</v>
      </c>
      <c r="E67" s="0" t="n">
        <v>5</v>
      </c>
      <c r="F67" s="0" t="n">
        <v>15</v>
      </c>
      <c r="G67" s="0" t="n">
        <v>2</v>
      </c>
      <c r="I67" s="0">
        <f>B67+C67</f>
        <v/>
      </c>
      <c r="J67" s="0">
        <f>D67</f>
        <v/>
      </c>
      <c r="K67" s="0">
        <f>E67+F67</f>
        <v/>
      </c>
      <c r="L67" s="0">
        <f>G67</f>
        <v/>
      </c>
      <c r="M67" s="0">
        <f>150-I67-K67-J67-L67</f>
        <v/>
      </c>
      <c r="N67" s="0">
        <f>K67-J67</f>
        <v/>
      </c>
      <c r="O67" s="0">
        <f>I67+K67</f>
        <v/>
      </c>
      <c r="Q67" s="0" t="n">
        <v>17034.339844</v>
      </c>
      <c r="R67" s="0" t="n">
        <v>14.90039000000252</v>
      </c>
    </row>
    <row r="68">
      <c r="A68" s="0" t="inlineStr">
        <is>
          <t>DO_20260522.xlsx</t>
        </is>
      </c>
      <c r="B68" s="0" t="n">
        <v>11</v>
      </c>
      <c r="C68" s="0" t="n">
        <v>16</v>
      </c>
      <c r="D68" s="0" t="n">
        <v>2</v>
      </c>
      <c r="E68" s="0" t="n">
        <v>15</v>
      </c>
      <c r="F68" s="0" t="n">
        <v>6</v>
      </c>
      <c r="G68" s="0" t="n">
        <v>5</v>
      </c>
      <c r="I68" s="0">
        <f>B68+C68</f>
        <v/>
      </c>
      <c r="J68" s="0">
        <f>D68</f>
        <v/>
      </c>
      <c r="K68" s="0">
        <f>E68+F68</f>
        <v/>
      </c>
      <c r="L68" s="0">
        <f>G68</f>
        <v/>
      </c>
      <c r="M68" s="0">
        <f>150-I68-K68-J68-L68</f>
        <v/>
      </c>
      <c r="N68" s="0">
        <f>K68-J68</f>
        <v/>
      </c>
      <c r="O68" s="0">
        <f>I68+K68</f>
        <v/>
      </c>
      <c r="Q68" s="0" t="n">
        <v>17074.550781</v>
      </c>
      <c r="R68" s="0" t="n">
        <v>125.0195309999981</v>
      </c>
    </row>
    <row r="69">
      <c r="A69" s="0" t="inlineStr">
        <is>
          <t>DO_20260525.xlsx</t>
        </is>
      </c>
      <c r="B69" s="0" t="n">
        <v>22</v>
      </c>
      <c r="C69" s="0" t="n">
        <v>13</v>
      </c>
      <c r="D69" s="0" t="n">
        <v>5</v>
      </c>
      <c r="E69" s="0" t="n">
        <v>14</v>
      </c>
      <c r="F69" s="0" t="n">
        <v>5</v>
      </c>
      <c r="G69" s="0" t="n">
        <v>7</v>
      </c>
      <c r="I69" s="0">
        <f>B69+C69</f>
        <v/>
      </c>
      <c r="J69" s="0">
        <f>D69</f>
        <v/>
      </c>
      <c r="K69" s="0">
        <f>E69+F69</f>
        <v/>
      </c>
      <c r="L69" s="0">
        <f>G69</f>
        <v/>
      </c>
      <c r="M69" s="0">
        <f>150-I69-K69-J69-L69</f>
        <v/>
      </c>
      <c r="N69" s="0">
        <f>K69-J69</f>
        <v/>
      </c>
      <c r="O69" s="0">
        <f>I69+K69</f>
        <v/>
      </c>
      <c r="Q69" s="0" t="n">
        <v>17041.630859</v>
      </c>
      <c r="R69" s="0" t="n">
        <v>37.18164000000252</v>
      </c>
    </row>
    <row r="70">
      <c r="A70" s="0" t="inlineStr">
        <is>
          <t>DO_20260526.xlsx</t>
        </is>
      </c>
      <c r="B70" s="0" t="n">
        <v>29</v>
      </c>
      <c r="C70" s="0" t="n">
        <v>11</v>
      </c>
      <c r="D70" s="0" t="n">
        <v>6</v>
      </c>
      <c r="E70" s="0" t="n">
        <v>8</v>
      </c>
      <c r="F70" s="0" t="n">
        <v>3</v>
      </c>
      <c r="G70" s="0" t="n">
        <v>11</v>
      </c>
      <c r="I70" s="0">
        <f>B70+C70</f>
        <v/>
      </c>
      <c r="J70" s="0">
        <f>D70</f>
        <v/>
      </c>
      <c r="K70" s="0">
        <f>E70+F70</f>
        <v/>
      </c>
      <c r="L70" s="0">
        <f>G70</f>
        <v/>
      </c>
      <c r="M70" s="0">
        <f>150-I70-K70-J70-L70</f>
        <v/>
      </c>
      <c r="N70" s="0">
        <f>K70-J70</f>
        <v/>
      </c>
      <c r="O70" s="0">
        <f>I70+K70</f>
        <v/>
      </c>
      <c r="Q70" s="0" t="n">
        <v>16987.410156</v>
      </c>
      <c r="R70" s="0" t="n">
        <v>-39.53906300000017</v>
      </c>
    </row>
    <row r="71">
      <c r="A71" s="0" t="inlineStr">
        <is>
          <t>DO_20260527.xlsx</t>
        </is>
      </c>
      <c r="B71" s="0" t="n">
        <v>36</v>
      </c>
      <c r="C71" s="0" t="n">
        <v>11</v>
      </c>
      <c r="D71" s="0" t="n">
        <v>4</v>
      </c>
      <c r="E71" s="0" t="n">
        <v>4</v>
      </c>
      <c r="F71" s="0" t="n">
        <v>2</v>
      </c>
      <c r="G71" s="0" t="n">
        <v>7</v>
      </c>
      <c r="I71" s="0">
        <f>B71+C71</f>
        <v/>
      </c>
      <c r="J71" s="0">
        <f>D71</f>
        <v/>
      </c>
      <c r="K71" s="0">
        <f>E71+F71</f>
        <v/>
      </c>
      <c r="L71" s="0">
        <f>G71</f>
        <v/>
      </c>
      <c r="M71" s="0">
        <f>150-I71-K71-J71-L71</f>
        <v/>
      </c>
      <c r="N71" s="0">
        <f>K71-J71</f>
        <v/>
      </c>
      <c r="O71" s="0">
        <f>I71+K71</f>
        <v/>
      </c>
      <c r="Q71" s="0" t="n">
        <v>17068.240234</v>
      </c>
      <c r="R71" s="0" t="n">
        <v>-70.62890699999843</v>
      </c>
    </row>
    <row r="72">
      <c r="A72" s="0" t="inlineStr">
        <is>
          <t>DO_20260528.xlsx</t>
        </is>
      </c>
      <c r="B72" s="0" t="n">
        <v>37</v>
      </c>
      <c r="C72" s="0" t="n">
        <v>7</v>
      </c>
      <c r="D72" s="0" t="n">
        <v>10</v>
      </c>
      <c r="E72" s="0" t="n">
        <v>2</v>
      </c>
      <c r="F72" s="0" t="n">
        <v>6</v>
      </c>
      <c r="G72" s="0" t="n">
        <v>4</v>
      </c>
      <c r="I72" s="0">
        <f>B72+C72</f>
        <v/>
      </c>
      <c r="J72" s="0">
        <f>D72</f>
        <v/>
      </c>
      <c r="K72" s="0">
        <f>E72+F72</f>
        <v/>
      </c>
      <c r="L72" s="0">
        <f>G72</f>
        <v/>
      </c>
      <c r="M72" s="0">
        <f>150-I72-K72-J72-L72</f>
        <v/>
      </c>
      <c r="N72" s="0">
        <f>K72-J72</f>
        <v/>
      </c>
      <c r="O72" s="0">
        <f>I72+K72</f>
        <v/>
      </c>
      <c r="Q72" s="0" t="n">
        <v>17065.970703</v>
      </c>
      <c r="R72" s="0" t="n">
        <v>46.47070299999905</v>
      </c>
    </row>
    <row r="73">
      <c r="A73" s="0" t="inlineStr">
        <is>
          <t>DO_20260529.xlsx</t>
        </is>
      </c>
      <c r="B73" s="0" t="n">
        <v>38</v>
      </c>
      <c r="C73" s="0" t="n">
        <v>19</v>
      </c>
      <c r="D73" s="0" t="n">
        <v>6</v>
      </c>
      <c r="E73" s="0" t="n">
        <v>6</v>
      </c>
      <c r="F73" s="0" t="n">
        <v>5</v>
      </c>
      <c r="G73" s="0" t="n">
        <v>2</v>
      </c>
      <c r="I73" s="0">
        <f>B73+C73</f>
        <v/>
      </c>
      <c r="J73" s="0">
        <f>D73</f>
        <v/>
      </c>
      <c r="K73" s="0">
        <f>E73+F73</f>
        <v/>
      </c>
      <c r="L73" s="0">
        <f>G73</f>
        <v/>
      </c>
      <c r="M73" s="0">
        <f>150-I73-K73-J73-L73</f>
        <v/>
      </c>
      <c r="N73" s="0">
        <f>K73-J73</f>
        <v/>
      </c>
      <c r="O73" s="0">
        <f>I73+K73</f>
        <v/>
      </c>
      <c r="Q73" s="0" t="n">
        <v>17122.160156</v>
      </c>
      <c r="R73" s="0" t="n">
        <v>-28.4492190000019</v>
      </c>
    </row>
    <row r="74">
      <c r="A74" s="0" t="inlineStr">
        <is>
          <t>DO_20260601.xlsx</t>
        </is>
      </c>
      <c r="B74" s="0" t="n">
        <v>38</v>
      </c>
      <c r="C74" s="0" t="n">
        <v>5</v>
      </c>
      <c r="D74" s="0" t="n">
        <v>19</v>
      </c>
      <c r="E74" s="0" t="n">
        <v>9</v>
      </c>
      <c r="F74" s="0" t="n">
        <v>10</v>
      </c>
      <c r="G74" s="0" t="n">
        <v>2</v>
      </c>
      <c r="I74" s="0">
        <f>B74+C74</f>
        <v/>
      </c>
      <c r="J74" s="0">
        <f>D74</f>
        <v/>
      </c>
      <c r="K74" s="0">
        <f>E74+F74</f>
        <v/>
      </c>
      <c r="L74" s="0">
        <f>G74</f>
        <v/>
      </c>
      <c r="M74" s="0">
        <f>150-I74-K74-J74-L74</f>
        <v/>
      </c>
      <c r="N74" s="0">
        <f>K74-J74</f>
        <v/>
      </c>
      <c r="O74" s="0">
        <f>I74+K74</f>
        <v/>
      </c>
      <c r="Q74" s="0" t="n">
        <v>17078.859375</v>
      </c>
      <c r="R74" s="0" t="n">
        <v>34.26953100000173</v>
      </c>
    </row>
    <row r="75">
      <c r="A75" s="0" t="inlineStr">
        <is>
          <t>DO_20260602.xlsx</t>
        </is>
      </c>
      <c r="B75" s="0" t="n">
        <v>22</v>
      </c>
      <c r="C75" s="0" t="n">
        <v>6</v>
      </c>
      <c r="D75" s="0" t="n">
        <v>21</v>
      </c>
      <c r="E75" s="0" t="n">
        <v>17</v>
      </c>
      <c r="F75" s="0" t="n">
        <v>4</v>
      </c>
      <c r="G75" s="0" t="n">
        <v>2</v>
      </c>
      <c r="I75" s="0">
        <f>B75+C75</f>
        <v/>
      </c>
      <c r="J75" s="0">
        <f>D75</f>
        <v/>
      </c>
      <c r="K75" s="0">
        <f>E75+F75</f>
        <v/>
      </c>
      <c r="L75" s="0">
        <f>G75</f>
        <v/>
      </c>
      <c r="M75" s="0">
        <f>150-I75-K75-J75-L75</f>
        <v/>
      </c>
      <c r="N75" s="0">
        <f>K75-J75</f>
        <v/>
      </c>
      <c r="O75" s="0">
        <f>I75+K75</f>
        <v/>
      </c>
      <c r="Q75" s="0" t="n">
        <v>17296.900391</v>
      </c>
      <c r="R75" s="0" t="n">
        <v>-79.41992200000095</v>
      </c>
    </row>
    <row r="76">
      <c r="A76" s="0" t="inlineStr">
        <is>
          <t>DO_20260603.xlsx</t>
        </is>
      </c>
      <c r="B76" s="0" t="n">
        <v>19</v>
      </c>
      <c r="C76" s="0" t="n">
        <v>9</v>
      </c>
      <c r="D76" s="0" t="n">
        <v>9</v>
      </c>
      <c r="E76" s="0" t="n">
        <v>18</v>
      </c>
      <c r="F76" s="0" t="n">
        <v>7</v>
      </c>
      <c r="G76" s="0" t="n">
        <v>3</v>
      </c>
      <c r="I76" s="0">
        <f>B76+C76</f>
        <v/>
      </c>
      <c r="J76" s="0">
        <f>D76</f>
        <v/>
      </c>
      <c r="K76" s="0">
        <f>E76+F76</f>
        <v/>
      </c>
      <c r="L76" s="0">
        <f>G76</f>
        <v/>
      </c>
      <c r="M76" s="0">
        <f>150-I76-K76-J76-L76</f>
        <v/>
      </c>
      <c r="N76" s="0">
        <f>K76-J76</f>
        <v/>
      </c>
      <c r="O76" s="0">
        <f>I76+K76</f>
        <v/>
      </c>
      <c r="Q76" s="0" t="n">
        <v>17415.300781</v>
      </c>
      <c r="R76" s="0" t="n">
        <v>199.7402349999975</v>
      </c>
    </row>
    <row r="77">
      <c r="A77" s="0" t="inlineStr">
        <is>
          <t>DO_20260604.xlsx</t>
        </is>
      </c>
      <c r="B77" s="0" t="n">
        <v>11</v>
      </c>
      <c r="C77" s="0" t="n">
        <v>3</v>
      </c>
      <c r="D77" s="0" t="n">
        <v>17</v>
      </c>
      <c r="E77" s="0" t="n">
        <v>23</v>
      </c>
      <c r="F77" s="0" t="n">
        <v>10</v>
      </c>
      <c r="G77" s="0" t="n">
        <v>2</v>
      </c>
      <c r="I77" s="0">
        <f>B77+C77</f>
        <v/>
      </c>
      <c r="J77" s="0">
        <f>D77</f>
        <v/>
      </c>
      <c r="K77" s="0">
        <f>E77+F77</f>
        <v/>
      </c>
      <c r="L77" s="0">
        <f>G77</f>
        <v/>
      </c>
      <c r="M77" s="0">
        <f>150-I77-K77-J77-L77</f>
        <v/>
      </c>
      <c r="N77" s="0">
        <f>K77-J77</f>
        <v/>
      </c>
      <c r="O77" s="0">
        <f>I77+K77</f>
        <v/>
      </c>
      <c r="Q77" s="0" t="n">
        <v>17541.359375</v>
      </c>
      <c r="R77" s="0" t="n">
        <v>91.91015600000173</v>
      </c>
    </row>
    <row r="78">
      <c r="A78" s="0" t="inlineStr">
        <is>
          <t>DO_20260605.xlsx</t>
        </is>
      </c>
      <c r="B78" s="0" t="n">
        <v>6</v>
      </c>
      <c r="C78" s="0" t="n">
        <v>5</v>
      </c>
      <c r="D78" s="0" t="n">
        <v>8</v>
      </c>
      <c r="E78" s="0" t="n">
        <v>28</v>
      </c>
      <c r="F78" s="0" t="n">
        <v>10</v>
      </c>
      <c r="G78" s="0" t="n">
        <v>5</v>
      </c>
      <c r="I78" s="0">
        <f>B78+C78</f>
        <v/>
      </c>
      <c r="J78" s="0">
        <f>D78</f>
        <v/>
      </c>
      <c r="K78" s="0">
        <f>E78+F78</f>
        <v/>
      </c>
      <c r="L78" s="0">
        <f>G78</f>
        <v/>
      </c>
      <c r="M78" s="0">
        <f>150-I78-K78-J78-L78</f>
        <v/>
      </c>
      <c r="N78" s="0">
        <f>K78-J78</f>
        <v/>
      </c>
      <c r="O78" s="0">
        <f>I78+K78</f>
        <v/>
      </c>
      <c r="Q78" s="0" t="n">
        <v>17559.650391</v>
      </c>
      <c r="R78" s="0" t="n">
        <v>108.2597659999992</v>
      </c>
    </row>
    <row r="79">
      <c r="A79" s="0" t="inlineStr">
        <is>
          <t>DO_20260608.xlsx</t>
        </is>
      </c>
      <c r="B79" s="0" t="n">
        <v>8</v>
      </c>
      <c r="C79" s="0" t="n">
        <v>27</v>
      </c>
      <c r="D79" s="0" t="n">
        <v>1</v>
      </c>
      <c r="E79" s="0" t="n">
        <v>4</v>
      </c>
      <c r="F79" s="0" t="n">
        <v>2</v>
      </c>
      <c r="G79" s="0" t="n">
        <v>5</v>
      </c>
      <c r="I79" s="0">
        <f>B79+C79</f>
        <v/>
      </c>
      <c r="J79" s="0">
        <f>D79</f>
        <v/>
      </c>
      <c r="K79" s="0">
        <f>E79+F79</f>
        <v/>
      </c>
      <c r="L79" s="0">
        <f>G79</f>
        <v/>
      </c>
      <c r="M79" s="0">
        <f>150-I79-K79-J79-L79</f>
        <v/>
      </c>
      <c r="N79" s="0">
        <f>K79-J79</f>
        <v/>
      </c>
      <c r="O79" s="0">
        <f>I79+K79</f>
        <v/>
      </c>
      <c r="Q79" s="0" t="n">
        <v>17452.519531</v>
      </c>
      <c r="R79" s="0" t="n">
        <v>10.56054700000095</v>
      </c>
    </row>
    <row r="80">
      <c r="A80" s="0" t="inlineStr">
        <is>
          <t>DO_20260609.xlsx</t>
        </is>
      </c>
      <c r="B80" s="0" t="n">
        <v>8</v>
      </c>
      <c r="C80" s="0" t="n">
        <v>27</v>
      </c>
      <c r="D80" s="0" t="n">
        <v>1</v>
      </c>
      <c r="E80" s="0" t="n">
        <v>4</v>
      </c>
      <c r="F80" s="0" t="n">
        <v>2</v>
      </c>
      <c r="G80" s="0" t="n">
        <v>5</v>
      </c>
      <c r="I80" s="0">
        <f>B80+C80</f>
        <v/>
      </c>
      <c r="J80" s="0">
        <f>D80</f>
        <v/>
      </c>
      <c r="K80" s="0">
        <f>E80+F80</f>
        <v/>
      </c>
      <c r="L80" s="0">
        <f>G80</f>
        <v/>
      </c>
      <c r="M80" s="0">
        <f>150-I80-K80-J80-L80</f>
        <v/>
      </c>
      <c r="N80" s="0">
        <f>K80-J80</f>
        <v/>
      </c>
      <c r="O80" s="0">
        <f>I80+K80</f>
        <v/>
      </c>
      <c r="Q80" s="0" t="n">
        <v>17518.130859</v>
      </c>
      <c r="R80" s="0" t="n">
        <v>-74.66015699999843</v>
      </c>
    </row>
    <row r="81">
      <c r="A81" s="0" t="inlineStr">
        <is>
          <t>DO_20260610.xlsx</t>
        </is>
      </c>
      <c r="B81" s="0" t="n">
        <v>28</v>
      </c>
      <c r="C81" s="0" t="n">
        <v>7</v>
      </c>
      <c r="D81" s="0" t="n">
        <v>7</v>
      </c>
      <c r="E81" s="0" t="n">
        <v>6</v>
      </c>
      <c r="F81" s="0" t="n">
        <v>7</v>
      </c>
      <c r="G81" s="0" t="n">
        <v>0</v>
      </c>
      <c r="I81" s="0">
        <f>B81+C81</f>
        <v/>
      </c>
      <c r="J81" s="0">
        <f>D81</f>
        <v/>
      </c>
      <c r="K81" s="0">
        <f>E81+F81</f>
        <v/>
      </c>
      <c r="L81" s="0">
        <f>G81</f>
        <v/>
      </c>
      <c r="M81" s="0">
        <f>150-I81-K81-J81-L81</f>
        <v/>
      </c>
      <c r="N81" s="0">
        <f>K81-J81</f>
        <v/>
      </c>
      <c r="O81" s="0">
        <f>I81+K81</f>
        <v/>
      </c>
      <c r="Q81" s="0" t="n">
        <v>17634.470703</v>
      </c>
      <c r="R81" s="0" t="n">
        <v>38.58007799999905</v>
      </c>
    </row>
    <row r="82">
      <c r="A82" s="0" t="inlineStr">
        <is>
          <t>DO_20260611.xlsx</t>
        </is>
      </c>
      <c r="B82" s="0" t="n">
        <v>22</v>
      </c>
      <c r="C82" s="0" t="n">
        <v>5</v>
      </c>
      <c r="D82" s="0" t="n">
        <v>13</v>
      </c>
      <c r="E82" s="0" t="n">
        <v>12</v>
      </c>
      <c r="F82" s="0" t="n">
        <v>5</v>
      </c>
      <c r="G82" s="0" t="n">
        <v>1</v>
      </c>
      <c r="I82" s="0">
        <f>B82+C82</f>
        <v/>
      </c>
      <c r="J82" s="0">
        <f>D82</f>
        <v/>
      </c>
      <c r="K82" s="0">
        <f>E82+F82</f>
        <v/>
      </c>
      <c r="L82" s="0">
        <f>G82</f>
        <v/>
      </c>
      <c r="M82" s="0">
        <f>150-I82-K82-J82-L82</f>
        <v/>
      </c>
      <c r="N82" s="0">
        <f>K82-J82</f>
        <v/>
      </c>
      <c r="O82" s="0">
        <f>I82+K82</f>
        <v/>
      </c>
      <c r="Q82" s="0" t="n">
        <v>17693.130859</v>
      </c>
      <c r="R82" s="0" t="n">
        <v>73.95117199999731</v>
      </c>
    </row>
    <row r="83">
      <c r="A83" s="0" t="inlineStr">
        <is>
          <t>DO_20260612.xlsx</t>
        </is>
      </c>
      <c r="B83" s="0" t="n">
        <v>22</v>
      </c>
      <c r="C83" s="0" t="n">
        <v>7</v>
      </c>
      <c r="D83" s="0" t="n">
        <v>5</v>
      </c>
      <c r="E83" s="0" t="n">
        <v>8</v>
      </c>
      <c r="F83" s="0" t="n">
        <v>3</v>
      </c>
      <c r="G83" s="0" t="n">
        <v>9</v>
      </c>
      <c r="I83" s="0">
        <f>B83+C83</f>
        <v/>
      </c>
      <c r="J83" s="0">
        <f>D83</f>
        <v/>
      </c>
      <c r="K83" s="0">
        <f>E83+F83</f>
        <v/>
      </c>
      <c r="L83" s="0">
        <f>G83</f>
        <v/>
      </c>
      <c r="M83" s="0">
        <f>150-I83-K83-J83-L83</f>
        <v/>
      </c>
      <c r="N83" s="0">
        <f>K83-J83</f>
        <v/>
      </c>
      <c r="O83" s="0">
        <f>I83+K83</f>
        <v/>
      </c>
      <c r="Q83" s="0" t="n">
        <v>17764.039063</v>
      </c>
      <c r="R83" s="0" t="n">
        <v>53.16992100000061</v>
      </c>
    </row>
    <row r="84">
      <c r="A84" s="0" t="inlineStr">
        <is>
          <t>DO_20260615.xlsx</t>
        </is>
      </c>
      <c r="B84" s="0" t="n">
        <v>26</v>
      </c>
      <c r="C84" s="0" t="n">
        <v>12</v>
      </c>
      <c r="D84" s="0" t="n">
        <v>3</v>
      </c>
      <c r="E84" s="0" t="n">
        <v>4</v>
      </c>
      <c r="F84" s="0" t="n">
        <v>1</v>
      </c>
      <c r="G84" s="0" t="n">
        <v>7</v>
      </c>
      <c r="I84" s="0">
        <f>B84+C84</f>
        <v/>
      </c>
      <c r="J84" s="0">
        <f>D84</f>
        <v/>
      </c>
      <c r="K84" s="0">
        <f>E84+F84</f>
        <v/>
      </c>
      <c r="L84" s="0">
        <f>G84</f>
        <v/>
      </c>
      <c r="M84" s="0">
        <f>150-I84-K84-J84-L84</f>
        <v/>
      </c>
      <c r="N84" s="0">
        <f>K84-J84</f>
        <v/>
      </c>
      <c r="O84" s="0">
        <f>I84+K84</f>
        <v/>
      </c>
      <c r="Q84" s="0" t="n">
        <v>17841.369141</v>
      </c>
      <c r="R84" s="0" t="n">
        <v>58.75</v>
      </c>
    </row>
    <row r="85">
      <c r="A85" s="0" t="inlineStr">
        <is>
          <t>DO_20260616.xlsx</t>
        </is>
      </c>
      <c r="B85" s="0" t="n">
        <v>29</v>
      </c>
      <c r="C85" s="0" t="n">
        <v>12</v>
      </c>
      <c r="D85" s="0" t="n">
        <v>9</v>
      </c>
      <c r="E85" s="0" t="n">
        <v>4</v>
      </c>
      <c r="F85" s="0" t="n">
        <v>6</v>
      </c>
      <c r="G85" s="0" t="n">
        <v>1</v>
      </c>
      <c r="I85" s="0">
        <f>B85+C85</f>
        <v/>
      </c>
      <c r="J85" s="0">
        <f>D85</f>
        <v/>
      </c>
      <c r="K85" s="0">
        <f>E85+F85</f>
        <v/>
      </c>
      <c r="L85" s="0">
        <f>G85</f>
        <v/>
      </c>
      <c r="M85" s="0">
        <f>150-I85-K85-J85-L85</f>
        <v/>
      </c>
      <c r="N85" s="0">
        <f>K85-J85</f>
        <v/>
      </c>
      <c r="O85" s="0">
        <f>I85+K85</f>
        <v/>
      </c>
      <c r="Q85" s="0" t="n">
        <v>17818.310547</v>
      </c>
      <c r="R85" s="0" t="n">
        <v>74.30859399999827</v>
      </c>
    </row>
    <row r="86">
      <c r="A86" s="0" t="inlineStr">
        <is>
          <t>DO_20260617.xlsx</t>
        </is>
      </c>
      <c r="B86" s="0" t="n">
        <v>37</v>
      </c>
      <c r="C86" s="0" t="n">
        <v>7</v>
      </c>
      <c r="D86" s="0" t="n">
        <v>4</v>
      </c>
      <c r="E86" s="0" t="n">
        <v>6</v>
      </c>
      <c r="F86" s="0" t="n">
        <v>5</v>
      </c>
      <c r="G86" s="0" t="n">
        <v>4</v>
      </c>
      <c r="I86" s="0">
        <f>B86+C86</f>
        <v/>
      </c>
      <c r="J86" s="0">
        <f>D86</f>
        <v/>
      </c>
      <c r="K86" s="0">
        <f>E86+F86</f>
        <v/>
      </c>
      <c r="L86" s="0">
        <f>G86</f>
        <v/>
      </c>
      <c r="M86" s="0">
        <f>150-I86-K86-J86-L86</f>
        <v/>
      </c>
      <c r="N86" s="0">
        <f>K86-J86</f>
        <v/>
      </c>
      <c r="O86" s="0">
        <f>I86+K86</f>
        <v/>
      </c>
      <c r="Q86" s="0" t="n">
        <v>17803.539063</v>
      </c>
      <c r="R86" s="0" t="n">
        <v>-45.8789059999981</v>
      </c>
    </row>
    <row r="87">
      <c r="A87" s="0" t="inlineStr">
        <is>
          <t>DO_20260618.xlsx</t>
        </is>
      </c>
      <c r="B87" s="0" t="n">
        <v>38</v>
      </c>
      <c r="C87" s="0" t="n">
        <v>6</v>
      </c>
      <c r="D87" s="0" t="n">
        <v>6</v>
      </c>
      <c r="E87" s="0" t="n">
        <v>3</v>
      </c>
      <c r="F87" s="0" t="n">
        <v>4</v>
      </c>
      <c r="G87" s="0" t="n">
        <v>8</v>
      </c>
      <c r="I87" s="0">
        <f>B87+C87</f>
        <v/>
      </c>
      <c r="J87" s="0">
        <f>D87</f>
        <v/>
      </c>
      <c r="K87" s="0">
        <f>E87+F87</f>
        <v/>
      </c>
      <c r="L87" s="0">
        <f>G87</f>
        <v/>
      </c>
      <c r="M87" s="0">
        <f>150-I87-K87-J87-L87</f>
        <v/>
      </c>
      <c r="N87" s="0">
        <f>K87-J87</f>
        <v/>
      </c>
      <c r="O87" s="0">
        <f>I87+K87</f>
        <v/>
      </c>
      <c r="Q87" s="0" t="n">
        <v>17666.119141</v>
      </c>
      <c r="R87" s="0" t="n">
        <v>-24.99023400000078</v>
      </c>
    </row>
    <row r="88">
      <c r="A88" s="0" t="inlineStr">
        <is>
          <t>DO_20260622.xlsx</t>
        </is>
      </c>
      <c r="B88" s="0" t="n">
        <v>24</v>
      </c>
      <c r="C88" s="0" t="n">
        <v>10</v>
      </c>
      <c r="D88" s="0" t="n">
        <v>20</v>
      </c>
      <c r="E88" s="0" t="n">
        <v>5</v>
      </c>
      <c r="F88" s="0" t="n">
        <v>6</v>
      </c>
      <c r="G88" s="0" t="n">
        <v>2</v>
      </c>
      <c r="I88" s="0">
        <f>B88+C88</f>
        <v/>
      </c>
      <c r="J88" s="0">
        <f>D88</f>
        <v/>
      </c>
      <c r="K88" s="0">
        <f>E88+F88</f>
        <v/>
      </c>
      <c r="L88" s="0">
        <f>G88</f>
        <v/>
      </c>
      <c r="M88" s="0">
        <f>150-I88-K88-J88-L88</f>
        <v/>
      </c>
      <c r="N88" s="0">
        <f>K88-J88</f>
        <v/>
      </c>
      <c r="O88" s="0">
        <f>I88+K88</f>
        <v/>
      </c>
      <c r="Q88" s="0" t="n">
        <v>17642.519531</v>
      </c>
      <c r="R88" s="0" t="n">
        <v>-131.78125</v>
      </c>
    </row>
    <row r="89">
      <c r="A89" s="0" t="inlineStr">
        <is>
          <t>DO_20260623.xlsx</t>
        </is>
      </c>
      <c r="B89" s="0" t="n">
        <v>20</v>
      </c>
      <c r="C89" s="0" t="n">
        <v>5</v>
      </c>
      <c r="D89" s="0" t="n">
        <v>14</v>
      </c>
      <c r="E89" s="0" t="n">
        <v>11</v>
      </c>
      <c r="F89" s="0" t="n">
        <v>5</v>
      </c>
      <c r="G89" s="0" t="n">
        <v>0</v>
      </c>
      <c r="I89" s="0">
        <f>B89+C89</f>
        <v/>
      </c>
      <c r="J89" s="0">
        <f>D89</f>
        <v/>
      </c>
      <c r="K89" s="0">
        <f>E89+F89</f>
        <v/>
      </c>
      <c r="L89" s="0">
        <f>G89</f>
        <v/>
      </c>
      <c r="M89" s="0">
        <f>150-I89-K89-J89-L89</f>
        <v/>
      </c>
      <c r="N89" s="0">
        <f>K89-J89</f>
        <v/>
      </c>
      <c r="O89" s="0">
        <f>I89+K89</f>
        <v/>
      </c>
      <c r="Q89" s="0" t="n">
        <v>17654.189453</v>
      </c>
      <c r="R89" s="0" t="n">
        <v>-37.640625</v>
      </c>
    </row>
    <row r="90">
      <c r="A90" s="0" t="inlineStr">
        <is>
          <t>DO_20260624.xlsx</t>
        </is>
      </c>
      <c r="B90" s="0" t="n">
        <v>13</v>
      </c>
      <c r="C90" s="0" t="n">
        <v>9</v>
      </c>
      <c r="D90" s="0" t="n">
        <v>12</v>
      </c>
      <c r="E90" s="0" t="n">
        <v>12</v>
      </c>
      <c r="F90" s="0" t="n">
        <v>5</v>
      </c>
      <c r="G90" s="0" t="n">
        <v>4</v>
      </c>
      <c r="I90" s="0">
        <f>B90+C90</f>
        <v/>
      </c>
      <c r="J90" s="0">
        <f>D90</f>
        <v/>
      </c>
      <c r="K90" s="0">
        <f>E90+F90</f>
        <v/>
      </c>
      <c r="L90" s="0">
        <f>G90</f>
        <v/>
      </c>
      <c r="M90" s="0">
        <f>150-I90-K90-J90-L90</f>
        <v/>
      </c>
      <c r="N90" s="0">
        <f>K90-J90</f>
        <v/>
      </c>
      <c r="O90" s="0">
        <f>I90+K90</f>
        <v/>
      </c>
      <c r="Q90" s="0" t="n">
        <v>17369.390625</v>
      </c>
      <c r="R90" s="0" t="n">
        <v>-31.92968800000017</v>
      </c>
    </row>
    <row r="91">
      <c r="A91" s="0" t="inlineStr">
        <is>
          <t>DO_20260625.xlsx</t>
        </is>
      </c>
      <c r="B91" s="0" t="n">
        <v>16</v>
      </c>
      <c r="C91" s="0" t="n">
        <v>13</v>
      </c>
      <c r="D91" s="0" t="n">
        <v>6</v>
      </c>
      <c r="E91" s="0" t="n">
        <v>14</v>
      </c>
      <c r="F91" s="0" t="n">
        <v>8</v>
      </c>
      <c r="G91" s="0" t="n">
        <v>3</v>
      </c>
      <c r="I91" s="0">
        <f>B91+C91</f>
        <v/>
      </c>
      <c r="J91" s="0">
        <f>D91</f>
        <v/>
      </c>
      <c r="K91" s="0">
        <f>E91+F91</f>
        <v/>
      </c>
      <c r="L91" s="0">
        <f>G91</f>
        <v/>
      </c>
      <c r="M91" s="0">
        <f>150-I91-K91-J91-L91</f>
        <v/>
      </c>
      <c r="N91" s="0">
        <f>K91-J91</f>
        <v/>
      </c>
      <c r="O91" s="0">
        <f>I91+K91</f>
        <v/>
      </c>
      <c r="Q91" s="0" t="n">
        <v>17328.089844</v>
      </c>
      <c r="R91" s="0" t="n">
        <v>-272.3984380000002</v>
      </c>
    </row>
    <row r="92">
      <c r="A92" s="0" t="inlineStr">
        <is>
          <t>DO_20260626.xlsx</t>
        </is>
      </c>
      <c r="B92" s="0" t="n">
        <v>7</v>
      </c>
      <c r="C92" s="0" t="n">
        <v>2</v>
      </c>
      <c r="D92" s="0" t="n">
        <v>22</v>
      </c>
      <c r="E92" s="0" t="n">
        <v>21</v>
      </c>
      <c r="F92" s="0" t="n">
        <v>20</v>
      </c>
      <c r="G92" s="0" t="n">
        <v>1</v>
      </c>
      <c r="I92" s="0">
        <f>B92+C92</f>
        <v/>
      </c>
      <c r="J92" s="0">
        <f>D92</f>
        <v/>
      </c>
      <c r="K92" s="0">
        <f>E92+F92</f>
        <v/>
      </c>
      <c r="L92" s="0">
        <f>G92</f>
        <v/>
      </c>
      <c r="M92" s="0">
        <f>150-I92-K92-J92-L92</f>
        <v/>
      </c>
      <c r="N92" s="0">
        <f>K92-J92</f>
        <v/>
      </c>
      <c r="O92" s="0">
        <f>I92+K92</f>
        <v/>
      </c>
      <c r="Q92" s="0" t="n">
        <v>17427.759766</v>
      </c>
      <c r="R92" s="0" t="n">
        <v>8.080077999999048</v>
      </c>
    </row>
    <row r="93">
      <c r="A93" s="0" t="inlineStr">
        <is>
          <t>DO_20260629.xlsx</t>
        </is>
      </c>
      <c r="B93" s="0" t="n">
        <v>8</v>
      </c>
      <c r="C93" s="0" t="n">
        <v>6</v>
      </c>
      <c r="D93" s="0" t="n">
        <v>1</v>
      </c>
      <c r="E93" s="0" t="n">
        <v>32</v>
      </c>
      <c r="F93" s="0" t="n">
        <v>8</v>
      </c>
      <c r="G93" s="0" t="n">
        <v>9</v>
      </c>
      <c r="I93" s="0">
        <f>B93+C93</f>
        <v/>
      </c>
      <c r="J93" s="0">
        <f>D93</f>
        <v/>
      </c>
      <c r="K93" s="0">
        <f>E93+F93</f>
        <v/>
      </c>
      <c r="L93" s="0">
        <f>G93</f>
        <v/>
      </c>
      <c r="M93" s="0">
        <f>150-I93-K93-J93-L93</f>
        <v/>
      </c>
      <c r="N93" s="0">
        <f>K93-J93</f>
        <v/>
      </c>
      <c r="O93" s="0">
        <f>I93+K93</f>
        <v/>
      </c>
      <c r="Q93" s="0" t="n">
        <v>17585.990234</v>
      </c>
      <c r="R93" s="0" t="n">
        <v>57.97070299999905</v>
      </c>
    </row>
    <row r="94">
      <c r="A94" s="0" t="inlineStr">
        <is>
          <t>DO_20260630.xlsx</t>
        </is>
      </c>
      <c r="B94" s="0" t="n">
        <v>11</v>
      </c>
      <c r="C94" s="0" t="n">
        <v>9</v>
      </c>
      <c r="D94" s="0" t="n">
        <v>3</v>
      </c>
      <c r="E94" s="0" t="n">
        <v>15</v>
      </c>
      <c r="F94" s="0" t="n">
        <v>2</v>
      </c>
      <c r="G94" s="0" t="n">
        <v>25</v>
      </c>
      <c r="I94" s="0">
        <f>B94+C94</f>
        <v/>
      </c>
      <c r="J94" s="0">
        <f>D94</f>
        <v/>
      </c>
      <c r="K94" s="0">
        <f>E94+F94</f>
        <v/>
      </c>
      <c r="L94" s="0">
        <f>G94</f>
        <v/>
      </c>
      <c r="M94" s="0">
        <f>150-I94-K94-J94-L94</f>
        <v/>
      </c>
      <c r="N94" s="0">
        <f>K94-J94</f>
        <v/>
      </c>
      <c r="O94" s="0">
        <f>I94+K94</f>
        <v/>
      </c>
      <c r="Q94" s="0" t="n">
        <v>17724.880859</v>
      </c>
      <c r="R94" s="0" t="n">
        <v>157.3808590000008</v>
      </c>
    </row>
    <row r="95">
      <c r="A95" s="0" t="inlineStr">
        <is>
          <t>DO_20260701.xlsx</t>
        </is>
      </c>
      <c r="B95" s="0" t="n">
        <v>14</v>
      </c>
      <c r="C95" s="0" t="n">
        <v>4</v>
      </c>
      <c r="D95" s="0" t="n">
        <v>6</v>
      </c>
      <c r="E95" s="0" t="n">
        <v>11</v>
      </c>
      <c r="F95" s="0" t="n">
        <v>7</v>
      </c>
      <c r="G95" s="0" t="n">
        <v>6</v>
      </c>
      <c r="I95" s="0">
        <f>B95+C95</f>
        <v/>
      </c>
      <c r="J95" s="0">
        <f>D95</f>
        <v/>
      </c>
      <c r="K95" s="0">
        <f>E95+F95</f>
        <v/>
      </c>
      <c r="L95" s="0">
        <f>G95</f>
        <v/>
      </c>
      <c r="M95" s="0">
        <f>150-I95-K95-J95-L95</f>
        <v/>
      </c>
      <c r="N95" s="0">
        <f>K95-J95</f>
        <v/>
      </c>
      <c r="O95" s="0">
        <f>I95+K95</f>
        <v/>
      </c>
      <c r="Q95" s="0" t="n">
        <v>17697.140625</v>
      </c>
      <c r="R95" s="0" t="n">
        <v>148.970702999999</v>
      </c>
    </row>
    <row r="96">
      <c r="A96" s="0" t="inlineStr">
        <is>
          <t>DO_20260702.xlsx</t>
        </is>
      </c>
      <c r="B96" s="0" t="n">
        <v>12</v>
      </c>
      <c r="C96" s="0" t="n">
        <v>9</v>
      </c>
      <c r="D96" s="0" t="n">
        <v>6</v>
      </c>
      <c r="E96" s="0" t="n">
        <v>9</v>
      </c>
      <c r="F96" s="0" t="n">
        <v>4</v>
      </c>
      <c r="G96" s="0" t="n">
        <v>9</v>
      </c>
      <c r="I96" s="0">
        <f>B96+C96</f>
        <v/>
      </c>
      <c r="J96" s="0">
        <f>D96</f>
        <v/>
      </c>
      <c r="K96" s="0">
        <f>E96+F96</f>
        <v/>
      </c>
      <c r="L96" s="0">
        <f>G96</f>
        <v/>
      </c>
      <c r="M96" s="0">
        <f>150-I96-K96-J96-L96</f>
        <v/>
      </c>
      <c r="N96" s="0">
        <f>K96-J96</f>
        <v/>
      </c>
      <c r="O96" s="0">
        <f>I96+K96</f>
        <v/>
      </c>
      <c r="R96" s="0" t="n">
        <v>-23.78906300000017</v>
      </c>
    </row>
    <row r="97">
      <c r="A97" s="0" t="inlineStr">
        <is>
          <t>DO_20260703.xlsx</t>
        </is>
      </c>
      <c r="B97" s="0" t="n">
        <v>19</v>
      </c>
      <c r="C97" s="0" t="n">
        <v>15</v>
      </c>
      <c r="D97" s="0" t="n">
        <v>2</v>
      </c>
      <c r="E97" s="0" t="n">
        <v>3</v>
      </c>
      <c r="F97" s="0" t="n">
        <v>1</v>
      </c>
      <c r="G97" s="0" t="n">
        <v>10</v>
      </c>
      <c r="I97" s="0">
        <f>B97+C97</f>
        <v/>
      </c>
      <c r="J97" s="0">
        <f>D97</f>
        <v/>
      </c>
      <c r="K97" s="0">
        <f>E97+F97</f>
        <v/>
      </c>
      <c r="L97" s="0">
        <f>G97</f>
        <v/>
      </c>
      <c r="M97" s="0">
        <f>150-I97-K97-J97-L97</f>
        <v/>
      </c>
      <c r="N97" s="0">
        <f>K97-J97</f>
        <v/>
      </c>
      <c r="O97" s="0">
        <f>I97+K97</f>
        <v/>
      </c>
    </row>
    <row r="98">
      <c r="A98" s="0" t="inlineStr">
        <is>
          <t>DO_20260706.xlsx</t>
        </is>
      </c>
      <c r="B98" s="0" t="n">
        <v>24</v>
      </c>
      <c r="C98" s="0" t="n">
        <v>7</v>
      </c>
      <c r="D98" s="0" t="n">
        <v>10</v>
      </c>
      <c r="E98" s="0" t="n">
        <v>2</v>
      </c>
      <c r="F98" s="0" t="n">
        <v>7</v>
      </c>
      <c r="G98" s="0" t="n">
        <v>2</v>
      </c>
      <c r="I98" s="0">
        <f>B98+C98</f>
        <v/>
      </c>
      <c r="J98" s="0">
        <f>D98</f>
        <v/>
      </c>
      <c r="K98" s="0">
        <f>E98+F98</f>
        <v/>
      </c>
      <c r="L98" s="0">
        <f>G98</f>
        <v/>
      </c>
      <c r="M98" s="0">
        <f>150-I98-K98-J98-L98</f>
        <v/>
      </c>
      <c r="N98" s="0">
        <f>K98-J98</f>
        <v/>
      </c>
      <c r="O98" s="0">
        <f>I98+K98</f>
        <v/>
      </c>
    </row>
    <row r="99">
      <c r="A99" s="0" t="inlineStr">
        <is>
          <t>DO_20260707.xlsx</t>
        </is>
      </c>
      <c r="B99" s="0" t="n">
        <v>11</v>
      </c>
      <c r="C99" s="0" t="n">
        <v>2</v>
      </c>
      <c r="D99" s="0" t="n">
        <v>20</v>
      </c>
      <c r="E99" s="0" t="n">
        <v>8</v>
      </c>
      <c r="F99" s="0" t="n">
        <v>9</v>
      </c>
      <c r="G99" s="0" t="n">
        <v>1</v>
      </c>
      <c r="I99" s="0">
        <f>B99+C99</f>
        <v/>
      </c>
      <c r="J99" s="0">
        <f>D99</f>
        <v/>
      </c>
      <c r="K99" s="0">
        <f>E99+F99</f>
        <v/>
      </c>
      <c r="L99" s="0">
        <f>G99</f>
        <v/>
      </c>
      <c r="M99" s="0">
        <f>150-I99-K99-J99-L99</f>
        <v/>
      </c>
      <c r="N99" s="0">
        <f>K99-J99</f>
        <v/>
      </c>
      <c r="O99" s="0">
        <f>I99+K99</f>
        <v/>
      </c>
    </row>
    <row r="100">
      <c r="A100" s="0" t="inlineStr">
        <is>
          <t>DO_20260708.xlsx</t>
        </is>
      </c>
      <c r="B100" s="0" t="n">
        <v>9</v>
      </c>
      <c r="C100" s="0" t="n">
        <v>9</v>
      </c>
      <c r="D100" s="0" t="n">
        <v>4</v>
      </c>
      <c r="E100" s="0" t="n">
        <v>15</v>
      </c>
      <c r="F100" s="0" t="n">
        <v>7</v>
      </c>
      <c r="G100" s="0" t="n">
        <v>2</v>
      </c>
      <c r="I100" s="0">
        <f>B100+C100</f>
        <v/>
      </c>
      <c r="J100" s="0">
        <f>D100</f>
        <v/>
      </c>
      <c r="K100" s="0">
        <f>E100+F100</f>
        <v/>
      </c>
      <c r="L100" s="0">
        <f>G100</f>
        <v/>
      </c>
      <c r="M100" s="0">
        <f>150-I100-K100-J100-L100</f>
        <v/>
      </c>
      <c r="N100" s="0">
        <f>K100-J100</f>
        <v/>
      </c>
      <c r="O100" s="0">
        <f>I100+K100</f>
        <v/>
      </c>
    </row>
    <row r="101">
      <c r="A101" s="0" t="inlineStr">
        <is>
          <t>DO_20260709.xlsx</t>
        </is>
      </c>
      <c r="B101" s="0" t="n">
        <v>12</v>
      </c>
      <c r="C101" s="0" t="n">
        <v>5</v>
      </c>
      <c r="D101" s="0" t="n">
        <v>9</v>
      </c>
      <c r="E101" s="0" t="n">
        <v>19</v>
      </c>
      <c r="F101" s="0" t="n">
        <v>13</v>
      </c>
      <c r="G101" s="0" t="n">
        <v>3</v>
      </c>
      <c r="I101" s="0">
        <f>B101+C101</f>
        <v/>
      </c>
      <c r="J101" s="0">
        <f>D101</f>
        <v/>
      </c>
      <c r="K101" s="0">
        <f>E101+F101</f>
        <v/>
      </c>
      <c r="L101" s="0">
        <f>G101</f>
        <v/>
      </c>
      <c r="M101" s="0">
        <f>150-I101-K101-J101-L101</f>
        <v/>
      </c>
      <c r="N101" s="0">
        <f>K101-J101</f>
        <v/>
      </c>
      <c r="O101" s="0">
        <f>I101+K101</f>
        <v/>
      </c>
    </row>
    <row r="102">
      <c r="I102" s="0">
        <f>B102+C102</f>
        <v/>
      </c>
      <c r="J102" s="0">
        <f>D102</f>
        <v/>
      </c>
      <c r="K102" s="0">
        <f>E102+F102</f>
        <v/>
      </c>
      <c r="L102" s="0">
        <f>G102</f>
        <v/>
      </c>
      <c r="M102" s="0">
        <f>150-I102-K102</f>
        <v/>
      </c>
      <c r="N102" s="0">
        <f>K102-J102</f>
        <v/>
      </c>
    </row>
    <row r="103">
      <c r="I103" s="0">
        <f>B103+C103</f>
        <v/>
      </c>
      <c r="J103" s="0">
        <f>D103</f>
        <v/>
      </c>
      <c r="K103" s="0">
        <f>E103+F103</f>
        <v/>
      </c>
      <c r="L103" s="0">
        <f>G103</f>
        <v/>
      </c>
      <c r="M103" s="0">
        <f>150-I103-K103</f>
        <v/>
      </c>
      <c r="N103" s="0">
        <f>K103-J103</f>
        <v/>
      </c>
    </row>
    <row r="104">
      <c r="I104" s="0">
        <f>B104+C104</f>
        <v/>
      </c>
      <c r="J104" s="0">
        <f>D104</f>
        <v/>
      </c>
      <c r="K104" s="0">
        <f>E104+F104</f>
        <v/>
      </c>
      <c r="L104" s="0">
        <f>G104</f>
        <v/>
      </c>
      <c r="M104" s="0">
        <f>150-I104-K104</f>
        <v/>
      </c>
      <c r="N104" s="0">
        <f>K104-J104</f>
        <v/>
      </c>
    </row>
    <row r="105">
      <c r="I105" s="0">
        <f>B105+C105</f>
        <v/>
      </c>
      <c r="J105" s="0">
        <f>D105</f>
        <v/>
      </c>
      <c r="K105" s="0">
        <f>E105+F105</f>
        <v/>
      </c>
      <c r="L105" s="0">
        <f>G105</f>
        <v/>
      </c>
      <c r="M105" s="0">
        <f>150-I105-K105</f>
        <v/>
      </c>
      <c r="N105" s="0">
        <f>K105-J105</f>
        <v/>
      </c>
    </row>
    <row r="106">
      <c r="I106" s="0">
        <f>B106+C106</f>
        <v/>
      </c>
      <c r="J106" s="0">
        <f>D106</f>
        <v/>
      </c>
      <c r="K106" s="0">
        <f>E106+F106</f>
        <v/>
      </c>
      <c r="L106" s="0">
        <f>G106</f>
        <v/>
      </c>
      <c r="M106" s="0">
        <f>150-I106-K106</f>
        <v/>
      </c>
      <c r="N106" s="0">
        <f>K106-J106</f>
        <v/>
      </c>
    </row>
    <row r="107">
      <c r="I107" s="0">
        <f>B107+C107</f>
        <v/>
      </c>
      <c r="J107" s="0">
        <f>D107</f>
        <v/>
      </c>
      <c r="K107" s="0">
        <f>E107+F107</f>
        <v/>
      </c>
      <c r="L107" s="0">
        <f>G107</f>
        <v/>
      </c>
      <c r="M107" s="0">
        <f>150-I107-K107</f>
        <v/>
      </c>
      <c r="N107" s="0">
        <f>K107-J107</f>
        <v/>
      </c>
    </row>
    <row r="108">
      <c r="I108" s="0">
        <f>B108+C108</f>
        <v/>
      </c>
      <c r="J108" s="0">
        <f>D108</f>
        <v/>
      </c>
      <c r="K108" s="0">
        <f>E108+F108</f>
        <v/>
      </c>
      <c r="L108" s="0">
        <f>G108</f>
        <v/>
      </c>
      <c r="M108" s="0">
        <f>150-I108-K108</f>
        <v/>
      </c>
      <c r="N108" s="0">
        <f>K108-J108</f>
        <v/>
      </c>
    </row>
    <row r="109">
      <c r="I109" s="0">
        <f>B109+C109</f>
        <v/>
      </c>
      <c r="J109" s="0">
        <f>D109</f>
        <v/>
      </c>
      <c r="K109" s="0">
        <f>E109+F109</f>
        <v/>
      </c>
      <c r="L109" s="0">
        <f>G109</f>
        <v/>
      </c>
      <c r="M109" s="0">
        <f>150-I109-K109</f>
        <v/>
      </c>
      <c r="N109" s="0">
        <f>K109-J109</f>
        <v/>
      </c>
    </row>
    <row r="110">
      <c r="I110" s="0">
        <f>B110+C110</f>
        <v/>
      </c>
      <c r="J110" s="0">
        <f>D110</f>
        <v/>
      </c>
      <c r="K110" s="0">
        <f>E110+F110</f>
        <v/>
      </c>
      <c r="L110" s="0">
        <f>G110</f>
        <v/>
      </c>
      <c r="M110" s="0">
        <f>150-I110-K110</f>
        <v/>
      </c>
      <c r="N110" s="0">
        <f>K110-J110</f>
        <v/>
      </c>
    </row>
    <row r="111">
      <c r="I111" s="0">
        <f>B111+C111</f>
        <v/>
      </c>
      <c r="J111" s="0">
        <f>D111</f>
        <v/>
      </c>
      <c r="K111" s="0">
        <f>E111+F111</f>
        <v/>
      </c>
      <c r="L111" s="0">
        <f>G111</f>
        <v/>
      </c>
      <c r="M111" s="0">
        <f>150-I111-K111</f>
        <v/>
      </c>
      <c r="N111" s="0">
        <f>K111-J111</f>
        <v/>
      </c>
    </row>
    <row r="112">
      <c r="I112" s="0">
        <f>B112+C112</f>
        <v/>
      </c>
      <c r="J112" s="0">
        <f>D112</f>
        <v/>
      </c>
      <c r="K112" s="0">
        <f>E112+F112</f>
        <v/>
      </c>
      <c r="L112" s="0">
        <f>G112</f>
        <v/>
      </c>
      <c r="M112" s="0">
        <f>150-I112-K112</f>
        <v/>
      </c>
      <c r="N112" s="0">
        <f>K112-J112</f>
        <v/>
      </c>
    </row>
    <row r="113">
      <c r="I113" s="0">
        <f>B113+C113</f>
        <v/>
      </c>
      <c r="J113" s="0">
        <f>D113</f>
        <v/>
      </c>
      <c r="K113" s="0">
        <f>E113+F113</f>
        <v/>
      </c>
      <c r="L113" s="0">
        <f>G113</f>
        <v/>
      </c>
      <c r="M113" s="0">
        <f>150-I113-K113</f>
        <v/>
      </c>
      <c r="N113" s="0">
        <f>K113-J113</f>
        <v/>
      </c>
    </row>
    <row r="114">
      <c r="I114" s="0">
        <f>B114+C114</f>
        <v/>
      </c>
      <c r="J114" s="0">
        <f>D114</f>
        <v/>
      </c>
      <c r="K114" s="0">
        <f>E114+F114</f>
        <v/>
      </c>
      <c r="L114" s="0">
        <f>G114</f>
        <v/>
      </c>
      <c r="M114" s="0">
        <f>150-I114-K114</f>
        <v/>
      </c>
      <c r="N114" s="0">
        <f>K114-J114</f>
        <v/>
      </c>
    </row>
    <row r="115">
      <c r="I115" s="0">
        <f>B115+C115</f>
        <v/>
      </c>
      <c r="J115" s="0">
        <f>D115</f>
        <v/>
      </c>
      <c r="K115" s="0">
        <f>E115+F115</f>
        <v/>
      </c>
      <c r="L115" s="0">
        <f>G115</f>
        <v/>
      </c>
      <c r="M115" s="0">
        <f>150-I115-K115</f>
        <v/>
      </c>
      <c r="N115" s="0">
        <f>K115-J115</f>
        <v/>
      </c>
    </row>
    <row r="116">
      <c r="I116" s="0">
        <f>B116+C116</f>
        <v/>
      </c>
      <c r="J116" s="0">
        <f>D116</f>
        <v/>
      </c>
      <c r="K116" s="0">
        <f>E116+F116</f>
        <v/>
      </c>
      <c r="L116" s="0">
        <f>G116</f>
        <v/>
      </c>
      <c r="M116" s="0">
        <f>150-I116-K116</f>
        <v/>
      </c>
      <c r="N116" s="0">
        <f>K116-J116</f>
        <v/>
      </c>
    </row>
    <row r="117">
      <c r="I117" s="0">
        <f>B117+C117</f>
        <v/>
      </c>
      <c r="J117" s="0">
        <f>D117</f>
        <v/>
      </c>
      <c r="K117" s="0">
        <f>E117+F117</f>
        <v/>
      </c>
      <c r="L117" s="0">
        <f>G117</f>
        <v/>
      </c>
      <c r="M117" s="0">
        <f>150-I117-K117</f>
        <v/>
      </c>
      <c r="N117" s="0">
        <f>K117-J117</f>
        <v/>
      </c>
    </row>
    <row r="118">
      <c r="I118" s="0">
        <f>B118+C118</f>
        <v/>
      </c>
      <c r="J118" s="0">
        <f>D118</f>
        <v/>
      </c>
      <c r="K118" s="0">
        <f>E118+F118</f>
        <v/>
      </c>
      <c r="L118" s="0">
        <f>G118</f>
        <v/>
      </c>
      <c r="M118" s="0">
        <f>150-I118-K118</f>
        <v/>
      </c>
      <c r="N118" s="0">
        <f>K118-J118</f>
        <v/>
      </c>
    </row>
    <row r="119">
      <c r="I119" s="0">
        <f>B119+C119</f>
        <v/>
      </c>
      <c r="J119" s="0">
        <f>D119</f>
        <v/>
      </c>
      <c r="K119" s="0">
        <f>E119+F119</f>
        <v/>
      </c>
      <c r="L119" s="0">
        <f>G119</f>
        <v/>
      </c>
      <c r="M119" s="0">
        <f>150-I119-K119</f>
        <v/>
      </c>
      <c r="N119" s="0">
        <f>K119-J119</f>
        <v/>
      </c>
    </row>
    <row r="120">
      <c r="I120" s="0">
        <f>B120+C120</f>
        <v/>
      </c>
      <c r="J120" s="0">
        <f>D120</f>
        <v/>
      </c>
      <c r="K120" s="0">
        <f>E120+F120</f>
        <v/>
      </c>
      <c r="L120" s="0">
        <f>G120</f>
        <v/>
      </c>
      <c r="M120" s="0">
        <f>150-I120-K120</f>
        <v/>
      </c>
      <c r="N120" s="0">
        <f>K120-J120</f>
        <v/>
      </c>
    </row>
    <row r="121">
      <c r="I121" s="0">
        <f>B121+C121</f>
        <v/>
      </c>
      <c r="J121" s="0">
        <f>D121</f>
        <v/>
      </c>
      <c r="K121" s="0">
        <f>E121+F121</f>
        <v/>
      </c>
      <c r="L121" s="0">
        <f>G121</f>
        <v/>
      </c>
      <c r="M121" s="0">
        <f>150-I121-K121</f>
        <v/>
      </c>
      <c r="N121" s="0">
        <f>K121-J121</f>
        <v/>
      </c>
    </row>
    <row r="122">
      <c r="I122" s="0">
        <f>B122+C122</f>
        <v/>
      </c>
      <c r="J122" s="0">
        <f>D122</f>
        <v/>
      </c>
      <c r="K122" s="0">
        <f>E122+F122</f>
        <v/>
      </c>
      <c r="L122" s="0">
        <f>G122</f>
        <v/>
      </c>
      <c r="M122" s="0">
        <f>150-I122-K122</f>
        <v/>
      </c>
      <c r="N122" s="0">
        <f>K122-J122</f>
        <v/>
      </c>
    </row>
    <row r="123">
      <c r="I123" s="0">
        <f>B123+C123</f>
        <v/>
      </c>
      <c r="J123" s="0">
        <f>D123</f>
        <v/>
      </c>
      <c r="K123" s="0">
        <f>E123+F123</f>
        <v/>
      </c>
      <c r="L123" s="0">
        <f>G123</f>
        <v/>
      </c>
      <c r="M123" s="0">
        <f>150-I123-K123</f>
        <v/>
      </c>
      <c r="N123" s="0">
        <f>K123-J123</f>
        <v/>
      </c>
    </row>
    <row r="124">
      <c r="I124" s="0">
        <f>B124+C124</f>
        <v/>
      </c>
      <c r="J124" s="0">
        <f>D124</f>
        <v/>
      </c>
      <c r="K124" s="0">
        <f>E124+F124</f>
        <v/>
      </c>
      <c r="L124" s="0">
        <f>G124</f>
        <v/>
      </c>
      <c r="M124" s="0">
        <f>150-I124-K124</f>
        <v/>
      </c>
      <c r="N124" s="0">
        <f>K124-J124</f>
        <v/>
      </c>
    </row>
    <row r="125">
      <c r="I125" s="0">
        <f>B125+C125</f>
        <v/>
      </c>
      <c r="J125" s="0">
        <f>D125</f>
        <v/>
      </c>
      <c r="K125" s="0">
        <f>E125+F125</f>
        <v/>
      </c>
      <c r="L125" s="0">
        <f>G125</f>
        <v/>
      </c>
      <c r="M125" s="0">
        <f>150-I125-K125</f>
        <v/>
      </c>
      <c r="N125" s="0">
        <f>K125-J125</f>
        <v/>
      </c>
    </row>
    <row r="126">
      <c r="I126" s="0">
        <f>B126+C126</f>
        <v/>
      </c>
      <c r="J126" s="0">
        <f>D126</f>
        <v/>
      </c>
      <c r="K126" s="0">
        <f>E126+F126</f>
        <v/>
      </c>
      <c r="L126" s="0">
        <f>G126</f>
        <v/>
      </c>
      <c r="M126" s="0">
        <f>150-I126-K126</f>
        <v/>
      </c>
      <c r="N126" s="0">
        <f>K126-J126</f>
        <v/>
      </c>
    </row>
    <row r="127">
      <c r="I127" s="0">
        <f>B127+C127</f>
        <v/>
      </c>
      <c r="J127" s="0">
        <f>D127</f>
        <v/>
      </c>
      <c r="K127" s="0">
        <f>E127+F127</f>
        <v/>
      </c>
      <c r="L127" s="0">
        <f>G127</f>
        <v/>
      </c>
      <c r="M127" s="0">
        <f>150-I127-K127</f>
        <v/>
      </c>
      <c r="N127" s="0">
        <f>K127-J127</f>
        <v/>
      </c>
    </row>
    <row r="128">
      <c r="I128" s="0">
        <f>B128+C128</f>
        <v/>
      </c>
      <c r="J128" s="0">
        <f>D128</f>
        <v/>
      </c>
      <c r="K128" s="0">
        <f>E128+F128</f>
        <v/>
      </c>
      <c r="L128" s="0">
        <f>G128</f>
        <v/>
      </c>
      <c r="M128" s="0">
        <f>150-I128-K128</f>
        <v/>
      </c>
      <c r="N128" s="0">
        <f>K128-J128</f>
        <v/>
      </c>
    </row>
    <row r="129">
      <c r="I129" s="0">
        <f>B129+C129</f>
        <v/>
      </c>
      <c r="J129" s="0">
        <f>D129</f>
        <v/>
      </c>
      <c r="K129" s="0">
        <f>E129+F129</f>
        <v/>
      </c>
      <c r="L129" s="0">
        <f>G129</f>
        <v/>
      </c>
      <c r="M129" s="0">
        <f>150-I129-K129</f>
        <v/>
      </c>
      <c r="N129" s="0">
        <f>K129-J129</f>
        <v/>
      </c>
    </row>
    <row r="130">
      <c r="I130" s="0">
        <f>B130+C130</f>
        <v/>
      </c>
      <c r="J130" s="0">
        <f>D130</f>
        <v/>
      </c>
      <c r="K130" s="0">
        <f>E130+F130</f>
        <v/>
      </c>
      <c r="L130" s="0">
        <f>G130</f>
        <v/>
      </c>
      <c r="M130" s="0">
        <f>150-I130-K130</f>
        <v/>
      </c>
      <c r="N130" s="0">
        <f>K130-J130</f>
        <v/>
      </c>
    </row>
    <row r="131">
      <c r="I131" s="0">
        <f>B131+C131</f>
        <v/>
      </c>
      <c r="J131" s="0">
        <f>D131</f>
        <v/>
      </c>
      <c r="K131" s="0">
        <f>E131+F131</f>
        <v/>
      </c>
      <c r="L131" s="0">
        <f>G131</f>
        <v/>
      </c>
      <c r="M131" s="0">
        <f>150-I131-K131</f>
        <v/>
      </c>
      <c r="N131" s="0">
        <f>K131-J131</f>
        <v/>
      </c>
    </row>
    <row r="132">
      <c r="I132" s="0">
        <f>B132+C132</f>
        <v/>
      </c>
      <c r="J132" s="0">
        <f>D132</f>
        <v/>
      </c>
      <c r="K132" s="0">
        <f>E132+F132</f>
        <v/>
      </c>
      <c r="L132" s="0">
        <f>G132</f>
        <v/>
      </c>
      <c r="M132" s="0">
        <f>150-I132-K132</f>
        <v/>
      </c>
      <c r="N132" s="0">
        <f>K132-J132</f>
        <v/>
      </c>
    </row>
    <row r="133">
      <c r="I133" s="0">
        <f>B133+C133</f>
        <v/>
      </c>
      <c r="J133" s="0">
        <f>D133</f>
        <v/>
      </c>
      <c r="K133" s="0">
        <f>E133+F133</f>
        <v/>
      </c>
      <c r="L133" s="0">
        <f>G133</f>
        <v/>
      </c>
      <c r="M133" s="0">
        <f>150-I133-K133</f>
        <v/>
      </c>
      <c r="N133" s="0">
        <f>K133-J133</f>
        <v/>
      </c>
    </row>
    <row r="134">
      <c r="I134" s="0">
        <f>B134+C134</f>
        <v/>
      </c>
      <c r="J134" s="0">
        <f>D134</f>
        <v/>
      </c>
      <c r="K134" s="0">
        <f>E134+F134</f>
        <v/>
      </c>
      <c r="L134" s="0">
        <f>G134</f>
        <v/>
      </c>
      <c r="M134" s="0">
        <f>150-I134-K134</f>
        <v/>
      </c>
      <c r="N134" s="0">
        <f>K134-J134</f>
        <v/>
      </c>
    </row>
    <row r="135">
      <c r="I135" s="0">
        <f>B135+C135</f>
        <v/>
      </c>
      <c r="J135" s="0">
        <f>D135</f>
        <v/>
      </c>
      <c r="K135" s="0">
        <f>E135+F135</f>
        <v/>
      </c>
      <c r="L135" s="0">
        <f>G135</f>
        <v/>
      </c>
      <c r="M135" s="0">
        <f>150-I135-K135</f>
        <v/>
      </c>
      <c r="N135" s="0">
        <f>K135-J135</f>
        <v/>
      </c>
    </row>
    <row r="136">
      <c r="I136" s="0">
        <f>B136+C136</f>
        <v/>
      </c>
      <c r="J136" s="0">
        <f>D136</f>
        <v/>
      </c>
      <c r="K136" s="0">
        <f>E136+F136</f>
        <v/>
      </c>
      <c r="L136" s="0">
        <f>G136</f>
        <v/>
      </c>
      <c r="M136" s="0">
        <f>150-I136-K136</f>
        <v/>
      </c>
      <c r="N136" s="0">
        <f>K136-J136</f>
        <v/>
      </c>
    </row>
    <row r="137">
      <c r="I137" s="0">
        <f>B137+C137</f>
        <v/>
      </c>
      <c r="J137" s="0">
        <f>D137</f>
        <v/>
      </c>
      <c r="K137" s="0">
        <f>E137+F137</f>
        <v/>
      </c>
      <c r="L137" s="0">
        <f>G137</f>
        <v/>
      </c>
      <c r="M137" s="0">
        <f>150-I137-K137</f>
        <v/>
      </c>
      <c r="N137" s="0">
        <f>K137-J137</f>
        <v/>
      </c>
    </row>
    <row r="138">
      <c r="I138" s="0">
        <f>B138+C138</f>
        <v/>
      </c>
      <c r="J138" s="0">
        <f>D138</f>
        <v/>
      </c>
      <c r="K138" s="0">
        <f>E138+F138</f>
        <v/>
      </c>
      <c r="L138" s="0">
        <f>G138</f>
        <v/>
      </c>
      <c r="M138" s="0">
        <f>150-I138-K138</f>
        <v/>
      </c>
      <c r="N138" s="0">
        <f>K138-J138</f>
        <v/>
      </c>
    </row>
    <row r="139">
      <c r="I139" s="0">
        <f>B139+C139</f>
        <v/>
      </c>
      <c r="J139" s="0">
        <f>D139</f>
        <v/>
      </c>
      <c r="K139" s="0">
        <f>E139+F139</f>
        <v/>
      </c>
      <c r="L139" s="0">
        <f>G139</f>
        <v/>
      </c>
      <c r="M139" s="0">
        <f>150-I139-K139</f>
        <v/>
      </c>
      <c r="N139" s="0">
        <f>K139-J139</f>
        <v/>
      </c>
    </row>
    <row r="140">
      <c r="I140" s="0">
        <f>B140+C140</f>
        <v/>
      </c>
      <c r="J140" s="0">
        <f>D140</f>
        <v/>
      </c>
      <c r="K140" s="0">
        <f>E140+F140</f>
        <v/>
      </c>
      <c r="L140" s="0">
        <f>G140</f>
        <v/>
      </c>
      <c r="M140" s="0">
        <f>150-I140-K140</f>
        <v/>
      </c>
      <c r="N140" s="0">
        <f>K140-J140</f>
        <v/>
      </c>
    </row>
    <row r="141">
      <c r="I141" s="0">
        <f>B141+C141</f>
        <v/>
      </c>
      <c r="J141" s="0">
        <f>D141</f>
        <v/>
      </c>
      <c r="K141" s="0">
        <f>E141+F141</f>
        <v/>
      </c>
      <c r="L141" s="0">
        <f>G141</f>
        <v/>
      </c>
      <c r="M141" s="0">
        <f>150-I141-K141</f>
        <v/>
      </c>
      <c r="N141" s="0">
        <f>K141-J141</f>
        <v/>
      </c>
    </row>
    <row r="142">
      <c r="I142" s="0">
        <f>B142+C142</f>
        <v/>
      </c>
      <c r="J142" s="0">
        <f>D142</f>
        <v/>
      </c>
      <c r="K142" s="0">
        <f>E142+F142</f>
        <v/>
      </c>
      <c r="L142" s="0">
        <f>G142</f>
        <v/>
      </c>
      <c r="M142" s="0">
        <f>150-I142-K142</f>
        <v/>
      </c>
      <c r="N142" s="0">
        <f>K142-J142</f>
        <v/>
      </c>
    </row>
    <row r="143">
      <c r="I143" s="0">
        <f>B143+C143</f>
        <v/>
      </c>
      <c r="J143" s="0">
        <f>D143</f>
        <v/>
      </c>
      <c r="K143" s="0">
        <f>E143+F143</f>
        <v/>
      </c>
      <c r="L143" s="0">
        <f>G143</f>
        <v/>
      </c>
      <c r="M143" s="0">
        <f>150-I143-K143</f>
        <v/>
      </c>
      <c r="N143" s="0">
        <f>K143-J143</f>
        <v/>
      </c>
    </row>
    <row r="144">
      <c r="I144" s="0">
        <f>B144+C144</f>
        <v/>
      </c>
      <c r="J144" s="0">
        <f>D144</f>
        <v/>
      </c>
      <c r="K144" s="0">
        <f>E144+F144</f>
        <v/>
      </c>
      <c r="L144" s="0">
        <f>G144</f>
        <v/>
      </c>
      <c r="M144" s="0">
        <f>150-I144-K144</f>
        <v/>
      </c>
      <c r="N144" s="0">
        <f>K144-J144</f>
        <v/>
      </c>
    </row>
    <row r="145">
      <c r="I145" s="0">
        <f>B145+C145</f>
        <v/>
      </c>
      <c r="J145" s="0">
        <f>D145</f>
        <v/>
      </c>
      <c r="K145" s="0">
        <f>E145+F145</f>
        <v/>
      </c>
      <c r="L145" s="0">
        <f>G145</f>
        <v/>
      </c>
      <c r="M145" s="0">
        <f>150-I145-K145</f>
        <v/>
      </c>
      <c r="N145" s="0">
        <f>K145-J145</f>
        <v/>
      </c>
    </row>
    <row r="146">
      <c r="I146" s="0">
        <f>B146+C146</f>
        <v/>
      </c>
      <c r="J146" s="0">
        <f>D146</f>
        <v/>
      </c>
      <c r="K146" s="0">
        <f>E146+F146</f>
        <v/>
      </c>
      <c r="L146" s="0">
        <f>G146</f>
        <v/>
      </c>
      <c r="M146" s="0">
        <f>150-I146-K146</f>
        <v/>
      </c>
      <c r="N146" s="0">
        <f>K146-J146</f>
        <v/>
      </c>
    </row>
    <row r="147">
      <c r="I147" s="0">
        <f>B147+C147</f>
        <v/>
      </c>
      <c r="J147" s="0">
        <f>D147</f>
        <v/>
      </c>
      <c r="K147" s="0">
        <f>E147+F147</f>
        <v/>
      </c>
      <c r="L147" s="0">
        <f>G147</f>
        <v/>
      </c>
      <c r="M147" s="0">
        <f>150-I147-K147</f>
        <v/>
      </c>
      <c r="N147" s="0">
        <f>K147-J147</f>
        <v/>
      </c>
    </row>
    <row r="148">
      <c r="I148" s="0">
        <f>B148+C148</f>
        <v/>
      </c>
      <c r="J148" s="0">
        <f>D148</f>
        <v/>
      </c>
      <c r="K148" s="0">
        <f>E148+F148</f>
        <v/>
      </c>
      <c r="L148" s="0">
        <f>G148</f>
        <v/>
      </c>
      <c r="M148" s="0">
        <f>150-I148-K148</f>
        <v/>
      </c>
      <c r="N148" s="0">
        <f>K148-J148</f>
        <v/>
      </c>
    </row>
    <row r="149">
      <c r="I149" s="0">
        <f>B149+C149</f>
        <v/>
      </c>
      <c r="J149" s="0">
        <f>D149</f>
        <v/>
      </c>
      <c r="K149" s="0">
        <f>E149+F149</f>
        <v/>
      </c>
      <c r="L149" s="0">
        <f>G149</f>
        <v/>
      </c>
      <c r="M149" s="0">
        <f>150-I149-K149</f>
        <v/>
      </c>
      <c r="N149" s="0">
        <f>K149-J149</f>
        <v/>
      </c>
    </row>
    <row r="150">
      <c r="I150" s="0">
        <f>B150+C150</f>
        <v/>
      </c>
      <c r="J150" s="0">
        <f>D150</f>
        <v/>
      </c>
      <c r="K150" s="0">
        <f>E150+F150</f>
        <v/>
      </c>
      <c r="L150" s="0">
        <f>G150</f>
        <v/>
      </c>
      <c r="M150" s="0">
        <f>150-I150-K150</f>
        <v/>
      </c>
      <c r="N150" s="0">
        <f>K150-J150</f>
        <v/>
      </c>
    </row>
    <row r="151">
      <c r="I151" s="0">
        <f>B151+C151</f>
        <v/>
      </c>
      <c r="J151" s="0">
        <f>D151</f>
        <v/>
      </c>
      <c r="K151" s="0">
        <f>E151+F151</f>
        <v/>
      </c>
      <c r="L151" s="0">
        <f>G151</f>
        <v/>
      </c>
      <c r="M151" s="0">
        <f>150-I151-K151</f>
        <v/>
      </c>
      <c r="N151" s="0">
        <f>K151-J151</f>
        <v/>
      </c>
    </row>
    <row r="152">
      <c r="I152" s="0">
        <f>B152+C152</f>
        <v/>
      </c>
      <c r="J152" s="0">
        <f>D152</f>
        <v/>
      </c>
      <c r="K152" s="0">
        <f>E152+F152</f>
        <v/>
      </c>
      <c r="L152" s="0">
        <f>G152</f>
        <v/>
      </c>
      <c r="M152" s="0">
        <f>150-I152-K152</f>
        <v/>
      </c>
      <c r="N152" s="0">
        <f>K152-J152</f>
        <v/>
      </c>
    </row>
    <row r="153">
      <c r="I153" s="0">
        <f>B153+C153</f>
        <v/>
      </c>
      <c r="J153" s="0">
        <f>D153</f>
        <v/>
      </c>
      <c r="K153" s="0">
        <f>E153+F153</f>
        <v/>
      </c>
      <c r="L153" s="0">
        <f>G153</f>
        <v/>
      </c>
      <c r="M153" s="0">
        <f>150-I153-K153</f>
        <v/>
      </c>
      <c r="N153" s="0">
        <f>K153-J153</f>
        <v/>
      </c>
    </row>
    <row r="154">
      <c r="I154" s="0">
        <f>B154+C154</f>
        <v/>
      </c>
      <c r="J154" s="0">
        <f>D154</f>
        <v/>
      </c>
      <c r="K154" s="0">
        <f>E154+F154</f>
        <v/>
      </c>
      <c r="L154" s="0">
        <f>G154</f>
        <v/>
      </c>
      <c r="M154" s="0">
        <f>150-I154-K154</f>
        <v/>
      </c>
      <c r="N154" s="0">
        <f>K154-J154</f>
        <v/>
      </c>
    </row>
    <row r="155">
      <c r="I155" s="0">
        <f>B155+C155</f>
        <v/>
      </c>
      <c r="J155" s="0">
        <f>D155</f>
        <v/>
      </c>
      <c r="K155" s="0">
        <f>E155+F155</f>
        <v/>
      </c>
      <c r="L155" s="0">
        <f>G155</f>
        <v/>
      </c>
      <c r="M155" s="0">
        <f>150-I155-K155</f>
        <v/>
      </c>
      <c r="N155" s="0">
        <f>K155-J155</f>
        <v/>
      </c>
    </row>
    <row r="156">
      <c r="I156" s="0">
        <f>B156+C156</f>
        <v/>
      </c>
      <c r="J156" s="0">
        <f>D156</f>
        <v/>
      </c>
      <c r="K156" s="0">
        <f>E156+F156</f>
        <v/>
      </c>
      <c r="L156" s="0">
        <f>G156</f>
        <v/>
      </c>
      <c r="M156" s="0">
        <f>150-I156-K156</f>
        <v/>
      </c>
      <c r="N156" s="0">
        <f>K156-J156</f>
        <v/>
      </c>
    </row>
    <row r="157">
      <c r="I157" s="0">
        <f>B157+C157</f>
        <v/>
      </c>
      <c r="J157" s="0">
        <f>D157</f>
        <v/>
      </c>
      <c r="K157" s="0">
        <f>E157+F157</f>
        <v/>
      </c>
      <c r="L157" s="0">
        <f>G157</f>
        <v/>
      </c>
      <c r="M157" s="0">
        <f>150-I157-K157</f>
        <v/>
      </c>
      <c r="N157" s="0">
        <f>K157-J157</f>
        <v/>
      </c>
    </row>
    <row r="158">
      <c r="I158" s="0">
        <f>B158+C158</f>
        <v/>
      </c>
      <c r="J158" s="0">
        <f>D158</f>
        <v/>
      </c>
      <c r="K158" s="0">
        <f>E158+F158</f>
        <v/>
      </c>
      <c r="L158" s="0">
        <f>G158</f>
        <v/>
      </c>
      <c r="M158" s="0">
        <f>150-I158-K158</f>
        <v/>
      </c>
      <c r="N158" s="0">
        <f>K158-J158</f>
        <v/>
      </c>
    </row>
    <row r="159">
      <c r="I159" s="0">
        <f>B159+C159</f>
        <v/>
      </c>
      <c r="J159" s="0">
        <f>D159</f>
        <v/>
      </c>
      <c r="K159" s="0">
        <f>E159+F159</f>
        <v/>
      </c>
      <c r="L159" s="0">
        <f>G159</f>
        <v/>
      </c>
      <c r="M159" s="0">
        <f>150-I159-K159</f>
        <v/>
      </c>
      <c r="N159" s="0">
        <f>K159-J159</f>
        <v/>
      </c>
    </row>
    <row r="160">
      <c r="I160" s="0">
        <f>B160+C160</f>
        <v/>
      </c>
      <c r="J160" s="0">
        <f>D160</f>
        <v/>
      </c>
      <c r="K160" s="0">
        <f>E160+F160</f>
        <v/>
      </c>
      <c r="L160" s="0">
        <f>G160</f>
        <v/>
      </c>
      <c r="M160" s="0">
        <f>150-I160-K160</f>
        <v/>
      </c>
      <c r="N160" s="0">
        <f>K160-J160</f>
        <v/>
      </c>
    </row>
    <row r="161">
      <c r="I161" s="0">
        <f>B161+C161</f>
        <v/>
      </c>
      <c r="J161" s="0">
        <f>D161</f>
        <v/>
      </c>
      <c r="K161" s="0">
        <f>E161+F161</f>
        <v/>
      </c>
      <c r="L161" s="0">
        <f>G161</f>
        <v/>
      </c>
      <c r="M161" s="0">
        <f>150-I161-K161</f>
        <v/>
      </c>
      <c r="N161" s="0">
        <f>K161-J161</f>
        <v/>
      </c>
    </row>
    <row r="162">
      <c r="I162" s="0">
        <f>B162+C162</f>
        <v/>
      </c>
      <c r="J162" s="0">
        <f>D162</f>
        <v/>
      </c>
      <c r="K162" s="0">
        <f>E162+F162</f>
        <v/>
      </c>
      <c r="L162" s="0">
        <f>G162</f>
        <v/>
      </c>
      <c r="M162" s="0">
        <f>150-I162-K162</f>
        <v/>
      </c>
      <c r="N162" s="0">
        <f>K162-J162</f>
        <v/>
      </c>
    </row>
    <row r="163">
      <c r="I163" s="0">
        <f>B163+C163</f>
        <v/>
      </c>
      <c r="J163" s="0">
        <f>D163</f>
        <v/>
      </c>
      <c r="K163" s="0">
        <f>E163+F163</f>
        <v/>
      </c>
      <c r="L163" s="0">
        <f>G163</f>
        <v/>
      </c>
      <c r="M163" s="0">
        <f>150-I163-K163</f>
        <v/>
      </c>
      <c r="N163" s="0">
        <f>K163-J163</f>
        <v/>
      </c>
    </row>
    <row r="164">
      <c r="I164" s="0">
        <f>B164+C164</f>
        <v/>
      </c>
      <c r="J164" s="0">
        <f>D164</f>
        <v/>
      </c>
      <c r="K164" s="0">
        <f>E164+F164</f>
        <v/>
      </c>
      <c r="L164" s="0">
        <f>G164</f>
        <v/>
      </c>
      <c r="M164" s="0">
        <f>150-I164-K164</f>
        <v/>
      </c>
      <c r="N164" s="0">
        <f>K164-J164</f>
        <v/>
      </c>
    </row>
    <row r="165">
      <c r="I165" s="0">
        <f>B165+C165</f>
        <v/>
      </c>
      <c r="J165" s="0">
        <f>D165</f>
        <v/>
      </c>
      <c r="K165" s="0">
        <f>E165+F165</f>
        <v/>
      </c>
      <c r="L165" s="0">
        <f>G165</f>
        <v/>
      </c>
      <c r="M165" s="0">
        <f>150-I165-K165</f>
        <v/>
      </c>
      <c r="N165" s="0">
        <f>K165-J165</f>
        <v/>
      </c>
    </row>
    <row r="166">
      <c r="I166" s="0">
        <f>B166+C166</f>
        <v/>
      </c>
      <c r="J166" s="0">
        <f>D166</f>
        <v/>
      </c>
      <c r="K166" s="0">
        <f>E166+F166</f>
        <v/>
      </c>
      <c r="L166" s="0">
        <f>G166</f>
        <v/>
      </c>
      <c r="M166" s="0">
        <f>150-I166-K166</f>
        <v/>
      </c>
      <c r="N166" s="0">
        <f>K166-J166</f>
        <v/>
      </c>
    </row>
    <row r="167">
      <c r="I167" s="0">
        <f>B167+C167</f>
        <v/>
      </c>
      <c r="J167" s="0">
        <f>D167</f>
        <v/>
      </c>
      <c r="K167" s="0">
        <f>E167+F167</f>
        <v/>
      </c>
      <c r="L167" s="0">
        <f>G167</f>
        <v/>
      </c>
      <c r="M167" s="0">
        <f>150-I167-K167</f>
        <v/>
      </c>
      <c r="N167" s="0">
        <f>K167-J167</f>
        <v/>
      </c>
    </row>
    <row r="168">
      <c r="I168" s="0">
        <f>B168+C168</f>
        <v/>
      </c>
      <c r="J168" s="0">
        <f>D168</f>
        <v/>
      </c>
      <c r="K168" s="0">
        <f>E168+F168</f>
        <v/>
      </c>
      <c r="L168" s="0">
        <f>G168</f>
        <v/>
      </c>
      <c r="M168" s="0">
        <f>150-I168-K168</f>
        <v/>
      </c>
      <c r="N168" s="0">
        <f>K168-J168</f>
        <v/>
      </c>
    </row>
    <row r="169">
      <c r="I169" s="0">
        <f>B169+C169</f>
        <v/>
      </c>
      <c r="J169" s="0">
        <f>D169</f>
        <v/>
      </c>
      <c r="K169" s="0">
        <f>E169+F169</f>
        <v/>
      </c>
      <c r="L169" s="0">
        <f>G169</f>
        <v/>
      </c>
      <c r="M169" s="0">
        <f>150-I169-K169</f>
        <v/>
      </c>
      <c r="N169" s="0">
        <f>K169-J169</f>
        <v/>
      </c>
    </row>
    <row r="170">
      <c r="I170" s="0">
        <f>B170+C170</f>
        <v/>
      </c>
      <c r="J170" s="0">
        <f>D170</f>
        <v/>
      </c>
      <c r="K170" s="0">
        <f>E170+F170</f>
        <v/>
      </c>
      <c r="L170" s="0">
        <f>G170</f>
        <v/>
      </c>
      <c r="M170" s="0">
        <f>150-I170-K170</f>
        <v/>
      </c>
      <c r="N170" s="0">
        <f>K170-J170</f>
        <v/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洪以堅</dc:creator>
  <dcterms:created xsi:type="dcterms:W3CDTF">2021-10-04T16:58:55Z</dcterms:created>
  <dcterms:modified xsi:type="dcterms:W3CDTF">2026-07-09T11:54:19Z</dcterms:modified>
  <cp:lastModifiedBy>洪以堅</cp:lastModifiedBy>
</cp:coreProperties>
</file>